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12\01User\08_U5Master\05 BRML DATA LIVE\01_OnGoing_Jobs\16797 - Dlecta Foods Pvt. ltd - Robotic pick &amp; place system\06 Electrical\Equipment List\"/>
    </mc:Choice>
  </mc:AlternateContent>
  <bookViews>
    <workbookView xWindow="0" yWindow="0" windowWidth="28800" windowHeight="12315" activeTab="7"/>
  </bookViews>
  <sheets>
    <sheet name="SetupSheet" sheetId="12" r:id="rId1"/>
    <sheet name="Title" sheetId="2" r:id="rId2"/>
    <sheet name="Assemblies" sheetId="3" r:id="rId3"/>
    <sheet name="EquipmentList" sheetId="4" r:id="rId4"/>
    <sheet name="NodeList" sheetId="5" r:id="rId5"/>
    <sheet name="XC0302" sheetId="6" r:id="rId6"/>
    <sheet name="XC0320" sheetId="8" r:id="rId7"/>
    <sheet name="harting connector" sheetId="7" r:id="rId8"/>
    <sheet name="Item Codes" sheetId="13" r:id="rId9"/>
    <sheet name="Alarms " sheetId="10" r:id="rId10"/>
    <sheet name="EventLog" sheetId="11" r:id="rId11"/>
  </sheets>
  <externalReferences>
    <externalReference r:id="rId12"/>
    <externalReference r:id="rId13"/>
    <externalReference r:id="rId14"/>
    <externalReference r:id="rId15"/>
  </externalReferences>
  <definedNames>
    <definedName name="_xlnm._FilterDatabase" localSheetId="3" hidden="1">EquipmentList!$A$3:$AV$68</definedName>
    <definedName name="_xlnm._FilterDatabase" localSheetId="8" hidden="1">'Item Codes'!$A$5:$C$5</definedName>
    <definedName name="_FirstColumnData" localSheetId="8">#REF!</definedName>
    <definedName name="_FirstColumnData" localSheetId="0">SetupSheet!#REF!</definedName>
    <definedName name="_FirstColumnData">#REF!</definedName>
    <definedName name="_FirstMechRow" localSheetId="8">#REF!</definedName>
    <definedName name="_FirstMechRow" localSheetId="0">SetupSheet!#REF!</definedName>
    <definedName name="_FirstMechRow">#REF!</definedName>
    <definedName name="_FirstRowData" localSheetId="8">#REF!</definedName>
    <definedName name="_FirstRowData" localSheetId="0">SetupSheet!#REF!</definedName>
    <definedName name="_FirstRowData">#REF!</definedName>
    <definedName name="_HighLimitColumn" localSheetId="8">#REF!</definedName>
    <definedName name="_HighLimitColumn" localSheetId="0">SetupSheet!#REF!</definedName>
    <definedName name="_HighLimitColumn">#REF!</definedName>
    <definedName name="_LowLimitColumn" localSheetId="8">#REF!</definedName>
    <definedName name="_LowLimitColumn" localSheetId="0">SetupSheet!#REF!</definedName>
    <definedName name="_LowLimitColumn">#REF!</definedName>
    <definedName name="_PLCArrayNum" localSheetId="8">#REF!</definedName>
    <definedName name="_PLCArrayNum" localSheetId="0">SetupSheet!#REF!</definedName>
    <definedName name="_PLCArrayNum">#REF!</definedName>
    <definedName name="_PLCRecipeSettingArray" localSheetId="8">#REF!</definedName>
    <definedName name="_PLCRecipeSettingArray" localSheetId="0">SetupSheet!#REF!</definedName>
    <definedName name="_PLCRecipeSettingArray">#REF!</definedName>
    <definedName name="_PLCTag" localSheetId="8">#REF!</definedName>
    <definedName name="_PLCTag" localSheetId="0">SetupSheet!#REF!</definedName>
    <definedName name="_PLCTag">#REF!</definedName>
    <definedName name="_TagDescColumn" localSheetId="8">#REF!</definedName>
    <definedName name="_TagDescColumn" localSheetId="0">SetupSheet!#REF!</definedName>
    <definedName name="_TagDescColumn">#REF!</definedName>
    <definedName name="ClassCodes" localSheetId="0">'[1]Item Codes'!$A$6:$A$31</definedName>
    <definedName name="ClassCodes">'Item Codes'!$A$6:$A$32</definedName>
    <definedName name="ClassCodesRange" localSheetId="8">'Item Codes'!$A$6:$C$32</definedName>
    <definedName name="ClassCodesRange" localSheetId="0">'[1]Item Codes'!$A$6:$C$31</definedName>
    <definedName name="ClassCodesRange">#REF!</definedName>
    <definedName name="Client" localSheetId="8">#REF!</definedName>
    <definedName name="Client" localSheetId="0">SetupSheet!#REF!</definedName>
    <definedName name="Client">#REF!</definedName>
    <definedName name="EquipmentList" localSheetId="9">EquipmentList!$A:$AM</definedName>
    <definedName name="EquipmentList" localSheetId="10">EquipmentList!$A:$AM</definedName>
    <definedName name="EquipmentList" localSheetId="8">[2]EquipmentList!$A:$AG</definedName>
    <definedName name="EquipmentList" localSheetId="0">[1]EquipmentList!$A:$AE</definedName>
    <definedName name="EquipmentList">EquipmentList!$A:$AG</definedName>
    <definedName name="Machine_Type" localSheetId="8">#REF!</definedName>
    <definedName name="Machine_Type" localSheetId="0">SetupSheet!#REF!</definedName>
    <definedName name="Machine_Type">#REF!</definedName>
    <definedName name="Mech_Appendix" localSheetId="8">#REF!</definedName>
    <definedName name="Mech_Appendix" localSheetId="0">SetupSheet!#REF!</definedName>
    <definedName name="Mech_Appendix">#REF!</definedName>
    <definedName name="OMAC_Alarms" localSheetId="8">'Item Codes'!$A$184:$B$278</definedName>
    <definedName name="OMAC_Alarms" localSheetId="0">'[1]Item Codes'!$A$180:$B$263</definedName>
    <definedName name="OMAC_Alarms">#REF!</definedName>
    <definedName name="OMAC_ID_Column">SetupSheet!$B$15</definedName>
    <definedName name="OMAC_ID_PLCTag">SetupSheet!$B$13</definedName>
    <definedName name="OMAC_Reason" localSheetId="8">'Item Codes'!$A$184:$A$278</definedName>
    <definedName name="OMAC_Reason" localSheetId="0">'[1]Item Codes'!$A$180:$A$263</definedName>
    <definedName name="OMAC_Reason">#REF!</definedName>
    <definedName name="OMAC_Value_Column">SetupSheet!$B$16</definedName>
    <definedName name="OMAC_Value_PLCTag">SetupSheet!$B$14</definedName>
    <definedName name="PLC_IPaddress" localSheetId="8">#REF!</definedName>
    <definedName name="PLC_IPaddress" localSheetId="0">SetupSheet!$B$4</definedName>
    <definedName name="PLC_IPaddress">#REF!</definedName>
    <definedName name="PLC_IPpath" localSheetId="8">#REF!</definedName>
    <definedName name="PLC_IPpath" localSheetId="0">SetupSheet!$B$5</definedName>
    <definedName name="PLC_IPpath">#REF!</definedName>
    <definedName name="PLC_MechHigh" localSheetId="8">#REF!</definedName>
    <definedName name="PLC_MechHigh" localSheetId="0">SetupSheet!#REF!</definedName>
    <definedName name="PLC_MechHigh">#REF!</definedName>
    <definedName name="PLC_MechLow" localSheetId="8">#REF!</definedName>
    <definedName name="PLC_MechLow" localSheetId="0">SetupSheet!#REF!</definedName>
    <definedName name="PLC_MechLow">#REF!</definedName>
    <definedName name="PLC_RealHi" localSheetId="8">#REF!</definedName>
    <definedName name="PLC_RealHi" localSheetId="0">SetupSheet!#REF!</definedName>
    <definedName name="PLC_RealHi">#REF!</definedName>
    <definedName name="PLC_RealLow" localSheetId="8">#REF!</definedName>
    <definedName name="PLC_RealLow" localSheetId="0">SetupSheet!#REF!</definedName>
    <definedName name="PLC_RealLow">#REF!</definedName>
    <definedName name="PLC_Recipe" localSheetId="8">#REF!</definedName>
    <definedName name="PLC_Recipe" localSheetId="0">SetupSheet!#REF!</definedName>
    <definedName name="PLC_Recipe">#REF!</definedName>
    <definedName name="PLC_style">'[3]Item Codes'!$A$45:$A$61</definedName>
    <definedName name="PLC_Styles" localSheetId="8">'Item Codes'!$A$48:$A$65</definedName>
    <definedName name="PLC_Styles" localSheetId="0">'[1]Item Codes'!$A$45:$A$61</definedName>
    <definedName name="PLC_Styles">#REF!</definedName>
    <definedName name="PLCStyle_Column" localSheetId="8">#REF!</definedName>
    <definedName name="PLCStyle_Column" localSheetId="0">SetupSheet!$B$11</definedName>
    <definedName name="PLCStyle_Column">#REF!</definedName>
    <definedName name="Project_Num" localSheetId="8">#REF!</definedName>
    <definedName name="Project_Num" localSheetId="0">SetupSheet!#REF!</definedName>
    <definedName name="Project_Num">#REF!</definedName>
    <definedName name="PV_Appendix" localSheetId="8">#REF!</definedName>
    <definedName name="PV_Appendix" localSheetId="0">SetupSheet!#REF!</definedName>
    <definedName name="PV_Appendix">#REF!</definedName>
    <definedName name="PVdesc_Appendix" localSheetId="8">#REF!</definedName>
    <definedName name="PVdesc_Appendix" localSheetId="0">SetupSheet!#REF!</definedName>
    <definedName name="PVdesc_Appendix">#REF!</definedName>
    <definedName name="RecipeTag_HighLimit" localSheetId="8">#REF!</definedName>
    <definedName name="RecipeTag_HighLimit" localSheetId="0">SetupSheet!#REF!</definedName>
    <definedName name="RecipeTag_HighLimit">#REF!</definedName>
    <definedName name="RecipeTag_LowLimit" localSheetId="8">#REF!</definedName>
    <definedName name="RecipeTag_LowLimit" localSheetId="0">SetupSheet!#REF!</definedName>
    <definedName name="RecipeTag_LowLimit">#REF!</definedName>
    <definedName name="RecipeTag_Product1" localSheetId="8">#REF!</definedName>
    <definedName name="RecipeTag_Product1" localSheetId="0">SetupSheet!#REF!</definedName>
    <definedName name="RecipeTag_Product1">#REF!</definedName>
    <definedName name="RecipeTag_Product2" localSheetId="8">#REF!</definedName>
    <definedName name="RecipeTag_Product2" localSheetId="0">SetupSheet!#REF!</definedName>
    <definedName name="RecipeTag_Product2">#REF!</definedName>
    <definedName name="RecipeTag_Range1" localSheetId="8">#REF!</definedName>
    <definedName name="RecipeTag_Range1" localSheetId="0">SetupSheet!#REF!</definedName>
    <definedName name="RecipeTag_Range1">#REF!</definedName>
    <definedName name="RecipeTag_Range2" localSheetId="8">#REF!</definedName>
    <definedName name="RecipeTag_Range2" localSheetId="0">SetupSheet!#REF!</definedName>
    <definedName name="RecipeTag_Range2">#REF!</definedName>
    <definedName name="TagDesc_Range1" localSheetId="8">#REF!</definedName>
    <definedName name="TagDesc_Range1" localSheetId="0">SetupSheet!$B$10</definedName>
    <definedName name="TagDesc_Range1">#REF!</definedName>
    <definedName name="TagName_Range1" localSheetId="8">#REF!</definedName>
    <definedName name="TagName_Range1" localSheetId="0">SetupSheet!$B$9</definedName>
    <definedName name="TagName_Range1">#REF!</definedName>
    <definedName name="TagName_Range2" localSheetId="8">#REF!</definedName>
    <definedName name="TagName_Range2" localSheetId="0">SetupSheet!#REF!</definedName>
    <definedName name="TagName_Range2">#REF!</definedName>
  </definedNames>
  <calcPr calcId="152511"/>
</workbook>
</file>

<file path=xl/calcChain.xml><?xml version="1.0" encoding="utf-8"?>
<calcChain xmlns="http://schemas.openxmlformats.org/spreadsheetml/2006/main">
  <c r="I58" i="4" l="1"/>
  <c r="C11" i="6" l="1"/>
  <c r="A12" i="4" l="1"/>
  <c r="I12" i="4"/>
  <c r="A7" i="4" l="1"/>
  <c r="A10" i="4"/>
  <c r="A49" i="4"/>
  <c r="I66" i="4"/>
  <c r="A66" i="4"/>
  <c r="I48" i="4"/>
  <c r="A48" i="4"/>
  <c r="E76" i="8"/>
  <c r="C76" i="8"/>
  <c r="E75" i="8"/>
  <c r="C75" i="8"/>
  <c r="E74" i="8"/>
  <c r="C74" i="8"/>
  <c r="E73" i="8"/>
  <c r="C73" i="8"/>
  <c r="C53" i="8"/>
  <c r="C52" i="8"/>
  <c r="C51" i="8"/>
  <c r="C50" i="8"/>
  <c r="C30" i="8"/>
  <c r="C29" i="8"/>
  <c r="C28" i="8"/>
  <c r="C27" i="8"/>
  <c r="A1" i="8"/>
  <c r="E71" i="8"/>
  <c r="C71" i="8"/>
  <c r="E70" i="8"/>
  <c r="C70" i="8"/>
  <c r="E69" i="8"/>
  <c r="C69" i="8"/>
  <c r="E68" i="8"/>
  <c r="C68" i="8"/>
  <c r="E67" i="8"/>
  <c r="C67" i="8"/>
  <c r="E66" i="8"/>
  <c r="C66" i="8"/>
  <c r="E65" i="8"/>
  <c r="C65" i="8"/>
  <c r="E64" i="8"/>
  <c r="C64" i="8"/>
  <c r="C63" i="8"/>
  <c r="C62" i="8"/>
  <c r="C61" i="8"/>
  <c r="C60" i="8"/>
  <c r="C59" i="8"/>
  <c r="C58" i="8"/>
  <c r="C57" i="8"/>
  <c r="C56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10" i="8"/>
  <c r="A1" i="6"/>
  <c r="A35" i="4" l="1"/>
  <c r="I35" i="4"/>
  <c r="A52" i="4" l="1"/>
  <c r="M51" i="4"/>
  <c r="L51" i="4"/>
  <c r="I51" i="4"/>
  <c r="A51" i="4"/>
  <c r="M50" i="4"/>
  <c r="L50" i="4"/>
  <c r="I57" i="4" l="1"/>
  <c r="A43" i="4"/>
  <c r="L20" i="4" l="1"/>
  <c r="E67" i="6" l="1"/>
  <c r="E63" i="6"/>
  <c r="A57" i="4" l="1"/>
  <c r="I59" i="4" l="1"/>
  <c r="A61" i="4" l="1"/>
  <c r="M40" i="4" l="1"/>
  <c r="L40" i="4"/>
  <c r="I40" i="4"/>
  <c r="A40" i="4"/>
  <c r="M56" i="4" l="1"/>
  <c r="L56" i="4"/>
  <c r="M47" i="4"/>
  <c r="L47" i="4"/>
  <c r="M46" i="4"/>
  <c r="L46" i="4"/>
  <c r="M42" i="4"/>
  <c r="L42" i="4"/>
  <c r="M29" i="4"/>
  <c r="L29" i="4"/>
  <c r="M39" i="4"/>
  <c r="L39" i="4"/>
  <c r="M38" i="4"/>
  <c r="L38" i="4"/>
  <c r="M37" i="4"/>
  <c r="L37" i="4"/>
  <c r="M25" i="4"/>
  <c r="L25" i="4"/>
  <c r="L22" i="4"/>
  <c r="M22" i="4"/>
  <c r="L23" i="4"/>
  <c r="M23" i="4"/>
  <c r="M13" i="4"/>
  <c r="L13" i="4"/>
  <c r="I38" i="4" l="1"/>
  <c r="I39" i="4"/>
  <c r="C45" i="6" l="1"/>
  <c r="E69" i="6"/>
  <c r="A38" i="4"/>
  <c r="A39" i="4"/>
  <c r="E19" i="10"/>
  <c r="D19" i="10"/>
  <c r="E18" i="10"/>
  <c r="D18" i="10"/>
  <c r="E17" i="10"/>
  <c r="D17" i="10"/>
  <c r="E16" i="10"/>
  <c r="D16" i="10"/>
  <c r="E15" i="10"/>
  <c r="D15" i="10"/>
  <c r="E14" i="10"/>
  <c r="D14" i="10"/>
  <c r="E13" i="10"/>
  <c r="D13" i="10"/>
  <c r="E12" i="10"/>
  <c r="D12" i="10"/>
  <c r="E11" i="10"/>
  <c r="D11" i="10"/>
  <c r="E10" i="10"/>
  <c r="D10" i="10"/>
  <c r="E9" i="10"/>
  <c r="D9" i="10"/>
  <c r="E8" i="10"/>
  <c r="D8" i="10"/>
  <c r="E7" i="10"/>
  <c r="D7" i="10"/>
  <c r="E6" i="10"/>
  <c r="D6" i="10"/>
  <c r="E5" i="10"/>
  <c r="D5" i="10"/>
  <c r="E4" i="10"/>
  <c r="D4" i="10"/>
  <c r="E3" i="10"/>
  <c r="D3" i="10"/>
  <c r="E2" i="10"/>
  <c r="D2" i="10"/>
  <c r="E77" i="6"/>
  <c r="C77" i="6"/>
  <c r="E76" i="6"/>
  <c r="C76" i="6"/>
  <c r="E75" i="6"/>
  <c r="C75" i="6"/>
  <c r="E74" i="6"/>
  <c r="C74" i="6"/>
  <c r="E73" i="6"/>
  <c r="C73" i="6"/>
  <c r="E72" i="6"/>
  <c r="C72" i="6"/>
  <c r="C71" i="6"/>
  <c r="C70" i="6"/>
  <c r="C69" i="6"/>
  <c r="C68" i="6"/>
  <c r="C67" i="6"/>
  <c r="C66" i="6"/>
  <c r="C65" i="6"/>
  <c r="C64" i="6"/>
  <c r="C63" i="6"/>
  <c r="C62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E43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AE67" i="4"/>
  <c r="AD67" i="4"/>
  <c r="AC67" i="4"/>
  <c r="AB67" i="4"/>
  <c r="AA67" i="4"/>
  <c r="Z67" i="4"/>
  <c r="Y67" i="4"/>
  <c r="X67" i="4"/>
  <c r="W67" i="4"/>
  <c r="V67" i="4"/>
  <c r="U67" i="4"/>
  <c r="T67" i="4"/>
  <c r="M65" i="4"/>
  <c r="L65" i="4"/>
  <c r="I65" i="4"/>
  <c r="A65" i="4"/>
  <c r="M64" i="4"/>
  <c r="L64" i="4"/>
  <c r="I64" i="4"/>
  <c r="A64" i="4"/>
  <c r="M63" i="4"/>
  <c r="L63" i="4"/>
  <c r="I63" i="4"/>
  <c r="A63" i="4"/>
  <c r="M62" i="4"/>
  <c r="L62" i="4"/>
  <c r="I62" i="4"/>
  <c r="A62" i="4"/>
  <c r="M61" i="4"/>
  <c r="L61" i="4"/>
  <c r="I61" i="4"/>
  <c r="M60" i="4"/>
  <c r="L60" i="4"/>
  <c r="A59" i="4"/>
  <c r="I56" i="4"/>
  <c r="A56" i="4"/>
  <c r="M55" i="4"/>
  <c r="L55" i="4"/>
  <c r="I55" i="4"/>
  <c r="A55" i="4"/>
  <c r="M54" i="4"/>
  <c r="L54" i="4"/>
  <c r="I54" i="4"/>
  <c r="A54" i="4"/>
  <c r="M53" i="4"/>
  <c r="L53" i="4"/>
  <c r="I53" i="4"/>
  <c r="I47" i="4"/>
  <c r="A47" i="4"/>
  <c r="I46" i="4"/>
  <c r="A46" i="4"/>
  <c r="I45" i="4"/>
  <c r="A45" i="4"/>
  <c r="M44" i="4"/>
  <c r="L44" i="4"/>
  <c r="I42" i="4"/>
  <c r="A42" i="4"/>
  <c r="M41" i="4"/>
  <c r="L41" i="4"/>
  <c r="I37" i="4"/>
  <c r="A37" i="4"/>
  <c r="M36" i="4"/>
  <c r="L36" i="4"/>
  <c r="M34" i="4"/>
  <c r="L34" i="4"/>
  <c r="I34" i="4"/>
  <c r="A34" i="4"/>
  <c r="M33" i="4"/>
  <c r="L33" i="4"/>
  <c r="I33" i="4"/>
  <c r="A33" i="4"/>
  <c r="M32" i="4"/>
  <c r="L32" i="4"/>
  <c r="I32" i="4"/>
  <c r="A32" i="4"/>
  <c r="M31" i="4"/>
  <c r="L31" i="4"/>
  <c r="I31" i="4"/>
  <c r="A31" i="4"/>
  <c r="M30" i="4"/>
  <c r="L30" i="4"/>
  <c r="I29" i="4"/>
  <c r="A29" i="4"/>
  <c r="M28" i="4"/>
  <c r="L28" i="4"/>
  <c r="I28" i="4"/>
  <c r="A28" i="4"/>
  <c r="M27" i="4"/>
  <c r="L27" i="4"/>
  <c r="M26" i="4"/>
  <c r="L26" i="4"/>
  <c r="I26" i="4"/>
  <c r="A26" i="4"/>
  <c r="I25" i="4"/>
  <c r="A25" i="4"/>
  <c r="M24" i="4"/>
  <c r="L24" i="4"/>
  <c r="I23" i="4"/>
  <c r="A23" i="4"/>
  <c r="I22" i="4"/>
  <c r="A22" i="4"/>
  <c r="M21" i="4"/>
  <c r="L21" i="4"/>
  <c r="I21" i="4"/>
  <c r="A21" i="4"/>
  <c r="M20" i="4"/>
  <c r="I20" i="4"/>
  <c r="A20" i="4"/>
  <c r="M19" i="4"/>
  <c r="L19" i="4"/>
  <c r="I19" i="4"/>
  <c r="A19" i="4"/>
  <c r="M18" i="4"/>
  <c r="L18" i="4"/>
  <c r="M17" i="4"/>
  <c r="L17" i="4"/>
  <c r="I17" i="4"/>
  <c r="A17" i="4"/>
  <c r="M16" i="4"/>
  <c r="L16" i="4"/>
  <c r="I16" i="4"/>
  <c r="A16" i="4"/>
  <c r="M15" i="4"/>
  <c r="L15" i="4"/>
  <c r="I15" i="4"/>
  <c r="A15" i="4"/>
  <c r="M14" i="4"/>
  <c r="L14" i="4"/>
  <c r="I14" i="4"/>
  <c r="A14" i="4"/>
  <c r="I13" i="4"/>
  <c r="A13" i="4"/>
  <c r="I11" i="4"/>
  <c r="A11" i="4"/>
  <c r="I9" i="4"/>
  <c r="A9" i="4"/>
  <c r="I8" i="4"/>
  <c r="A8" i="4"/>
  <c r="I6" i="4"/>
  <c r="A6" i="4"/>
  <c r="I5" i="4"/>
  <c r="A5" i="4"/>
  <c r="E26" i="6" l="1"/>
  <c r="E11" i="6"/>
  <c r="E53" i="8"/>
  <c r="E51" i="8"/>
  <c r="E52" i="8"/>
  <c r="E50" i="8"/>
  <c r="E30" i="8"/>
  <c r="E28" i="8"/>
  <c r="E29" i="8"/>
  <c r="E27" i="8"/>
  <c r="B1" i="8"/>
  <c r="E61" i="8"/>
  <c r="E59" i="8"/>
  <c r="E48" i="8"/>
  <c r="E42" i="8"/>
  <c r="E40" i="8"/>
  <c r="E36" i="8"/>
  <c r="E62" i="8"/>
  <c r="E58" i="8"/>
  <c r="E45" i="8"/>
  <c r="E41" i="8"/>
  <c r="E37" i="8"/>
  <c r="E33" i="8"/>
  <c r="E63" i="8"/>
  <c r="E57" i="8"/>
  <c r="E46" i="8"/>
  <c r="E44" i="8"/>
  <c r="E38" i="8"/>
  <c r="E34" i="8"/>
  <c r="E60" i="8"/>
  <c r="E56" i="8"/>
  <c r="E47" i="8"/>
  <c r="E43" i="8"/>
  <c r="E39" i="8"/>
  <c r="E35" i="8"/>
  <c r="B1" i="6"/>
  <c r="E21" i="6"/>
  <c r="E20" i="8"/>
  <c r="E66" i="6"/>
  <c r="E60" i="6"/>
  <c r="E59" i="6"/>
  <c r="E64" i="6"/>
  <c r="E31" i="6"/>
  <c r="E68" i="6"/>
  <c r="E58" i="6"/>
  <c r="E32" i="6"/>
  <c r="E62" i="6"/>
  <c r="E29" i="6"/>
  <c r="E28" i="6"/>
  <c r="E16" i="6"/>
  <c r="E40" i="6"/>
  <c r="E42" i="6"/>
  <c r="E22" i="6"/>
  <c r="E39" i="6"/>
  <c r="E41" i="6"/>
  <c r="E56" i="6"/>
  <c r="E57" i="6"/>
  <c r="E65" i="6"/>
  <c r="E71" i="6"/>
  <c r="E70" i="6"/>
  <c r="E20" i="6"/>
  <c r="E13" i="6"/>
  <c r="E16" i="8"/>
  <c r="E25" i="6"/>
  <c r="E46" i="6"/>
  <c r="E54" i="6"/>
  <c r="E49" i="6"/>
  <c r="E47" i="6"/>
  <c r="E55" i="6"/>
  <c r="E45" i="6"/>
  <c r="E12" i="6"/>
  <c r="E48" i="6"/>
  <c r="E51" i="6"/>
  <c r="E10" i="8"/>
  <c r="E11" i="8"/>
  <c r="E23" i="8"/>
  <c r="E35" i="6"/>
  <c r="E13" i="8"/>
  <c r="E19" i="8"/>
  <c r="E25" i="8"/>
  <c r="E19" i="6"/>
  <c r="E38" i="6"/>
  <c r="E17" i="6"/>
  <c r="E23" i="6"/>
  <c r="E30" i="6"/>
  <c r="E36" i="6"/>
  <c r="E14" i="8"/>
  <c r="E18" i="6"/>
  <c r="E24" i="6"/>
  <c r="E37" i="6"/>
  <c r="E50" i="6"/>
  <c r="E15" i="8"/>
  <c r="E21" i="8"/>
  <c r="E22" i="8"/>
  <c r="E14" i="6"/>
  <c r="E33" i="6"/>
  <c r="E52" i="6"/>
  <c r="E17" i="8"/>
  <c r="E15" i="6"/>
  <c r="E34" i="6"/>
  <c r="E53" i="6"/>
  <c r="E12" i="8"/>
  <c r="E18" i="8"/>
  <c r="E24" i="8"/>
</calcChain>
</file>

<file path=xl/comments1.xml><?xml version="1.0" encoding="utf-8"?>
<comments xmlns="http://schemas.openxmlformats.org/spreadsheetml/2006/main">
  <authors>
    <author>Sahana</author>
  </authors>
  <commentList>
    <comment ref="D21" authorId="0" shapeId="0">
      <text>
        <r>
          <rPr>
            <b/>
            <sz val="9"/>
            <color indexed="81"/>
            <rFont val="Tahoma"/>
            <family val="2"/>
          </rPr>
          <t>Sahana: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<sst xmlns="http://schemas.openxmlformats.org/spreadsheetml/2006/main" count="1321" uniqueCount="689">
  <si>
    <t>RMLA TOOL SETUP</t>
  </si>
  <si>
    <t>Description</t>
  </si>
  <si>
    <t>PLC Network Setup</t>
  </si>
  <si>
    <t>PLC IP Address</t>
  </si>
  <si>
    <t>PLC IP Path</t>
  </si>
  <si>
    <t>Equipment List Setup</t>
  </si>
  <si>
    <t>Tag Name - Range Start</t>
  </si>
  <si>
    <t>A</t>
  </si>
  <si>
    <t>Column of Tag Name</t>
  </si>
  <si>
    <t>Tag Description - Range Start</t>
  </si>
  <si>
    <t>H</t>
  </si>
  <si>
    <t>Column of Tag Descriptions</t>
  </si>
  <si>
    <t>PLC Style</t>
  </si>
  <si>
    <t>J</t>
  </si>
  <si>
    <t>Column of PLC Tag UDTs</t>
  </si>
  <si>
    <t>OMAC Alarm ID - PLC Tag</t>
  </si>
  <si>
    <t>PLC Tag Suffix for OMAC Alarm ID</t>
  </si>
  <si>
    <t>OMAC Alarm Value - PLC Tag</t>
  </si>
  <si>
    <t>.PML.Value</t>
  </si>
  <si>
    <t>PLC Tag Suffix for OMAC Alarm Value</t>
  </si>
  <si>
    <t>PML ID</t>
  </si>
  <si>
    <t>M</t>
  </si>
  <si>
    <t>Column of OMAC Alarm ID</t>
  </si>
  <si>
    <t>PML Value</t>
  </si>
  <si>
    <t>L</t>
  </si>
  <si>
    <t>Column of OMAC Alarm Value</t>
  </si>
  <si>
    <t>RML Automation</t>
  </si>
  <si>
    <t>Electrical Equipment &amp; IO List</t>
  </si>
  <si>
    <t>Revision: 01</t>
  </si>
  <si>
    <t xml:space="preserve"> 16607</t>
  </si>
  <si>
    <t>Assemblies</t>
  </si>
  <si>
    <t>Number</t>
  </si>
  <si>
    <t>01</t>
  </si>
  <si>
    <t>Concept</t>
  </si>
  <si>
    <t>02</t>
  </si>
  <si>
    <t>Lead Design</t>
  </si>
  <si>
    <t>03</t>
  </si>
  <si>
    <t>Electrical</t>
  </si>
  <si>
    <t>04</t>
  </si>
  <si>
    <t>Pneumatics</t>
  </si>
  <si>
    <t>05</t>
  </si>
  <si>
    <t>Main Assembly</t>
  </si>
  <si>
    <t>06</t>
  </si>
  <si>
    <t>Meetings / Reviews</t>
  </si>
  <si>
    <t>07</t>
  </si>
  <si>
    <t>Commissioning</t>
  </si>
  <si>
    <t>08</t>
  </si>
  <si>
    <t>As Builts / Maintenance dwgs</t>
  </si>
  <si>
    <t>09</t>
  </si>
  <si>
    <t>Checking</t>
  </si>
  <si>
    <t>Enclosures</t>
  </si>
  <si>
    <t>12</t>
  </si>
  <si>
    <t>Chassis</t>
  </si>
  <si>
    <t>13</t>
  </si>
  <si>
    <t>Guards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</si>
  <si>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</si>
  <si>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</si>
  <si>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</si>
  <si>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</si>
  <si>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</si>
  <si>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</si>
  <si>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</si>
  <si>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</si>
  <si>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</si>
  <si>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</si>
  <si>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</si>
  <si>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</si>
  <si>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</si>
  <si>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</si>
  <si>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</si>
  <si>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</si>
  <si>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</si>
  <si>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</si>
  <si>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</si>
  <si>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Equipment List</t>
  </si>
  <si>
    <t>Mechanical</t>
  </si>
  <si>
    <t>Blank</t>
  </si>
  <si>
    <t>Cables</t>
  </si>
  <si>
    <t>PLC 1</t>
  </si>
  <si>
    <t>PLC 2</t>
  </si>
  <si>
    <t>Festo Valve Bank</t>
  </si>
  <si>
    <t>Safety</t>
  </si>
  <si>
    <t>TAG</t>
  </si>
  <si>
    <t>AREA</t>
  </si>
  <si>
    <t>MACHINE</t>
  </si>
  <si>
    <t>CLASS</t>
  </si>
  <si>
    <t>SUB AREA</t>
  </si>
  <si>
    <t>ITEM</t>
  </si>
  <si>
    <t>SUFFIX</t>
  </si>
  <si>
    <t>OMAC Alarm Reason</t>
  </si>
  <si>
    <t>OMAC Alarm Value</t>
  </si>
  <si>
    <t>OMAC Alarm ID</t>
  </si>
  <si>
    <t xml:space="preserve">Make </t>
  </si>
  <si>
    <t>Model</t>
  </si>
  <si>
    <t>PartNumber</t>
  </si>
  <si>
    <t>Cable 1</t>
  </si>
  <si>
    <t>Cable 2</t>
  </si>
  <si>
    <t>Amps</t>
  </si>
  <si>
    <t>DO</t>
  </si>
  <si>
    <t>DI</t>
  </si>
  <si>
    <t>AO</t>
  </si>
  <si>
    <t>AI</t>
  </si>
  <si>
    <t>Reed Switches</t>
  </si>
  <si>
    <t>Flow Controls</t>
  </si>
  <si>
    <t>Valve Type</t>
  </si>
  <si>
    <t>Tube Size</t>
  </si>
  <si>
    <t>Notes</t>
  </si>
  <si>
    <t>Safety Area</t>
  </si>
  <si>
    <t>Electrical - General</t>
  </si>
  <si>
    <t/>
  </si>
  <si>
    <t>CP</t>
  </si>
  <si>
    <t xml:space="preserve">Main Control Cabinet   </t>
  </si>
  <si>
    <t>ELDON</t>
  </si>
  <si>
    <t>OP</t>
  </si>
  <si>
    <t>IPC</t>
  </si>
  <si>
    <t>XC</t>
  </si>
  <si>
    <t>PLC</t>
  </si>
  <si>
    <t>OMRON</t>
  </si>
  <si>
    <t>NX102-9000</t>
  </si>
  <si>
    <t>ether CAT Coupler</t>
  </si>
  <si>
    <t>NX-ECC203</t>
  </si>
  <si>
    <t>11</t>
  </si>
  <si>
    <t>UnManged Ethernet Switch</t>
  </si>
  <si>
    <t>Valve Bank</t>
  </si>
  <si>
    <t>Drives Fault Reset</t>
  </si>
  <si>
    <t>MiscOutput</t>
  </si>
  <si>
    <t>Undefined</t>
  </si>
  <si>
    <t>IL</t>
  </si>
  <si>
    <t>Run Indication (Green)</t>
  </si>
  <si>
    <t>Banner</t>
  </si>
  <si>
    <t>EZ LIGHT TL50 Tower Light: 3-Color Tower Light</t>
  </si>
  <si>
    <t>Alert Indication (Amber)</t>
  </si>
  <si>
    <t>Fault Indication (Red)</t>
  </si>
  <si>
    <t>Buzzer</t>
  </si>
  <si>
    <t>Electrical - Safety</t>
  </si>
  <si>
    <t xml:space="preserve"> </t>
  </si>
  <si>
    <t>Safety Reset</t>
  </si>
  <si>
    <t>K</t>
  </si>
  <si>
    <t>Packer Safety Contactor 1</t>
  </si>
  <si>
    <t>MiscInput</t>
  </si>
  <si>
    <t>SCHNEIDER</t>
  </si>
  <si>
    <t>LC1D</t>
  </si>
  <si>
    <t>LC1D18BD</t>
  </si>
  <si>
    <t>Packer Safety Contactor 2</t>
  </si>
  <si>
    <t>STO Enable 1</t>
  </si>
  <si>
    <t>23</t>
  </si>
  <si>
    <t>STO Enable 2</t>
  </si>
  <si>
    <t>Electrical - Site Interface</t>
  </si>
  <si>
    <t>SPDT-24VDC</t>
  </si>
  <si>
    <t>RXZE2M114/RSL1AB4BD</t>
  </si>
  <si>
    <t>SV</t>
  </si>
  <si>
    <t>Pneumatic Quick Exhaust Valve</t>
  </si>
  <si>
    <t>Festo</t>
  </si>
  <si>
    <t>PS</t>
  </si>
  <si>
    <t>Presure Switch</t>
  </si>
  <si>
    <t>10</t>
  </si>
  <si>
    <t xml:space="preserve">Operator Control Panel  </t>
  </si>
  <si>
    <t>ES</t>
  </si>
  <si>
    <t>Operator Control Panel E-Stop</t>
  </si>
  <si>
    <t>E-Stop pushed</t>
  </si>
  <si>
    <t>Sick</t>
  </si>
  <si>
    <t>SICK.6036148</t>
  </si>
  <si>
    <t>Control Panel E-Stop</t>
  </si>
  <si>
    <t>SICK.6036149</t>
  </si>
  <si>
    <t>Chasiss E-Stop</t>
  </si>
  <si>
    <t>GZ</t>
  </si>
  <si>
    <t>MO</t>
  </si>
  <si>
    <t>PE</t>
  </si>
  <si>
    <t>Sensor Fault</t>
  </si>
  <si>
    <t>GTB6-P4231</t>
  </si>
  <si>
    <t>ESG 32AH1000-PL</t>
  </si>
  <si>
    <t>64</t>
  </si>
  <si>
    <t>SC</t>
  </si>
  <si>
    <t>PX</t>
  </si>
  <si>
    <t>CY</t>
  </si>
  <si>
    <t>Infeed Conveyor 1</t>
  </si>
  <si>
    <t>Motor</t>
  </si>
  <si>
    <t>Electrical Overload</t>
  </si>
  <si>
    <t>VSD</t>
  </si>
  <si>
    <t>Drive Fault</t>
  </si>
  <si>
    <t>Cylinder</t>
  </si>
  <si>
    <t>Cylinder Fault</t>
  </si>
  <si>
    <t>25</t>
  </si>
  <si>
    <t>33</t>
  </si>
  <si>
    <t>34</t>
  </si>
  <si>
    <t>35</t>
  </si>
  <si>
    <t>RO</t>
  </si>
  <si>
    <t>63</t>
  </si>
  <si>
    <t>R-30iB Plus</t>
  </si>
  <si>
    <t>27</t>
  </si>
  <si>
    <t>66</t>
  </si>
  <si>
    <t>69</t>
  </si>
  <si>
    <t>Device Name</t>
  </si>
  <si>
    <t>Controller Type</t>
  </si>
  <si>
    <t>IP Address</t>
  </si>
  <si>
    <t>XC0301</t>
  </si>
  <si>
    <t>OP0301</t>
  </si>
  <si>
    <t>XC0302</t>
  </si>
  <si>
    <t>192.168.21.92</t>
  </si>
  <si>
    <t>XC0320</t>
  </si>
  <si>
    <t>A0XC0401</t>
  </si>
  <si>
    <t>Gateway Tag</t>
  </si>
  <si>
    <t>Gateway Type</t>
  </si>
  <si>
    <t>Module No</t>
  </si>
  <si>
    <t>Point No</t>
  </si>
  <si>
    <t>Address</t>
  </si>
  <si>
    <t>NX-ECC203 - etherCAT Coupler</t>
  </si>
  <si>
    <t>SV0401_FB1</t>
  </si>
  <si>
    <t>SV0401_FB2</t>
  </si>
  <si>
    <t>ES1001_CH1</t>
  </si>
  <si>
    <t>ES1001_CH2</t>
  </si>
  <si>
    <t>ES1002_CH1</t>
  </si>
  <si>
    <t>ES1002_CH2</t>
  </si>
  <si>
    <t>NX-ID5442 - 16pt Digital Input Card</t>
  </si>
  <si>
    <t>DI0350</t>
  </si>
  <si>
    <t>PS0401</t>
  </si>
  <si>
    <t>NX-OD5256- 16pt  Digital Output Card</t>
  </si>
  <si>
    <t>IL0301</t>
  </si>
  <si>
    <t>IL0302</t>
  </si>
  <si>
    <t>IL0303</t>
  </si>
  <si>
    <t>IL0304</t>
  </si>
  <si>
    <t>References</t>
  </si>
  <si>
    <t>Alarm Reference Document</t>
  </si>
  <si>
    <t>AlarmReferenceCodes V01.10.xlsx</t>
  </si>
  <si>
    <t>Alarm Generator Version</t>
  </si>
  <si>
    <t>18.0.0.3</t>
  </si>
  <si>
    <t>Code</t>
  </si>
  <si>
    <t>Numeric Identifier</t>
  </si>
  <si>
    <t>MCP</t>
  </si>
  <si>
    <t>Mechanical Change Part or Point</t>
  </si>
  <si>
    <t>Emergency Stop</t>
  </si>
  <si>
    <t>Door Switches, Light Curtains, General Safety Devices</t>
  </si>
  <si>
    <t>Solenoid Valve</t>
  </si>
  <si>
    <t>Photoeye</t>
  </si>
  <si>
    <t>Proximity</t>
  </si>
  <si>
    <t>VFD, Servo Drives</t>
  </si>
  <si>
    <t>Motor Output</t>
  </si>
  <si>
    <t>PB</t>
  </si>
  <si>
    <t>Pushbutton</t>
  </si>
  <si>
    <t>Digital Input</t>
  </si>
  <si>
    <t>Digital Output</t>
  </si>
  <si>
    <t>Indication Lamp</t>
  </si>
  <si>
    <t>GT</t>
  </si>
  <si>
    <t>Encoder</t>
  </si>
  <si>
    <t>Contactor Coil</t>
  </si>
  <si>
    <t>Pressure Switch</t>
  </si>
  <si>
    <t>SW</t>
  </si>
  <si>
    <t>Switch</t>
  </si>
  <si>
    <t>Robot</t>
  </si>
  <si>
    <t>DS</t>
  </si>
  <si>
    <t>Distance Scanner</t>
  </si>
  <si>
    <t>Controller</t>
  </si>
  <si>
    <t>Operator Panel</t>
  </si>
  <si>
    <t>Control Panel or Electrical Cabinet</t>
  </si>
  <si>
    <t>GU</t>
  </si>
  <si>
    <t>Glue System</t>
  </si>
  <si>
    <t>WT</t>
  </si>
  <si>
    <t>Weigh Transmitter</t>
  </si>
  <si>
    <t>LC</t>
  </si>
  <si>
    <t>Load Cell</t>
  </si>
  <si>
    <t>LS</t>
  </si>
  <si>
    <t>Level Switch</t>
  </si>
  <si>
    <t>RF</t>
  </si>
  <si>
    <t>RFID Reader</t>
  </si>
  <si>
    <t>Sub Code</t>
  </si>
  <si>
    <t>_E</t>
  </si>
  <si>
    <t>Extended Reed</t>
  </si>
  <si>
    <t>_R</t>
  </si>
  <si>
    <t>Retracted Reed</t>
  </si>
  <si>
    <t>_EX</t>
  </si>
  <si>
    <t>Extend Solenoid</t>
  </si>
  <si>
    <t>_RT</t>
  </si>
  <si>
    <t>Retract Solenoid</t>
  </si>
  <si>
    <t>_FB</t>
  </si>
  <si>
    <t>Motor Feedback</t>
  </si>
  <si>
    <t>_FWD</t>
  </si>
  <si>
    <t>Motor Forward</t>
  </si>
  <si>
    <t>_REV</t>
  </si>
  <si>
    <t>Motor Reverse</t>
  </si>
  <si>
    <t>_L</t>
  </si>
  <si>
    <t>Lock</t>
  </si>
  <si>
    <t>_RES</t>
  </si>
  <si>
    <t>Reset</t>
  </si>
  <si>
    <t>Axis_K300</t>
  </si>
  <si>
    <t>Axis_K350</t>
  </si>
  <si>
    <t>Axis_CIP</t>
  </si>
  <si>
    <t>Axis_K6000</t>
  </si>
  <si>
    <t>Axis_Virtual</t>
  </si>
  <si>
    <t>Axis_SEW</t>
  </si>
  <si>
    <t>AnalogueIn</t>
  </si>
  <si>
    <t>AnalogueOut</t>
  </si>
  <si>
    <t>Festo_MS6SV</t>
  </si>
  <si>
    <t>PositionalMotor</t>
  </si>
  <si>
    <t>ABB_Robot</t>
  </si>
  <si>
    <t>Hawk</t>
  </si>
  <si>
    <t>Column</t>
  </si>
  <si>
    <t>Column Reference</t>
  </si>
  <si>
    <t>Full Tag</t>
  </si>
  <si>
    <t>Tag Description</t>
  </si>
  <si>
    <t>PLC Index</t>
  </si>
  <si>
    <t>00</t>
  </si>
  <si>
    <t>Control</t>
  </si>
  <si>
    <t>Simulation</t>
  </si>
  <si>
    <t>Selection</t>
  </si>
  <si>
    <t>Interface</t>
  </si>
  <si>
    <t>Recipe</t>
  </si>
  <si>
    <t>OEE</t>
  </si>
  <si>
    <t>HMI</t>
  </si>
  <si>
    <t>Sequences</t>
  </si>
  <si>
    <t>24</t>
  </si>
  <si>
    <t>26</t>
  </si>
  <si>
    <t>28</t>
  </si>
  <si>
    <t>29</t>
  </si>
  <si>
    <t>30</t>
  </si>
  <si>
    <t>31</t>
  </si>
  <si>
    <t>32</t>
  </si>
  <si>
    <t>36</t>
  </si>
  <si>
    <t>37</t>
  </si>
  <si>
    <t>38</t>
  </si>
  <si>
    <t>39</t>
  </si>
  <si>
    <t>40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</si>
  <si>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</si>
  <si>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</si>
  <si>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</si>
  <si>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</si>
  <si>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</si>
  <si>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</si>
  <si>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</si>
  <si>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</si>
  <si>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</si>
  <si>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</si>
  <si>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</si>
  <si>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</si>
  <si>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65</t>
  </si>
  <si>
    <t>67</t>
  </si>
  <si>
    <t>68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</si>
  <si>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</si>
  <si>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</si>
  <si>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</si>
  <si>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</si>
  <si>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</si>
  <si>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</si>
  <si>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</si>
  <si>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</si>
  <si>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</si>
  <si>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</si>
  <si>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</si>
  <si>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</si>
  <si>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</si>
  <si>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</si>
  <si>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</si>
  <si>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</si>
  <si>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</si>
  <si>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</si>
  <si>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</si>
  <si>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</si>
  <si>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</si>
  <si>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MiscOutput_General</t>
  </si>
  <si>
    <t>91</t>
  </si>
  <si>
    <t>MiscOutput_Device</t>
  </si>
  <si>
    <t>92</t>
  </si>
  <si>
    <t>93</t>
  </si>
  <si>
    <t>Motros</t>
  </si>
  <si>
    <t>94</t>
  </si>
  <si>
    <t>Servo</t>
  </si>
  <si>
    <t>95</t>
  </si>
  <si>
    <t>AnalogOut</t>
  </si>
  <si>
    <t>96</t>
  </si>
  <si>
    <t>97</t>
  </si>
  <si>
    <t>98</t>
  </si>
  <si>
    <t>99</t>
  </si>
  <si>
    <t>OMAC Alarm Codes</t>
  </si>
  <si>
    <t>Reason</t>
  </si>
  <si>
    <t>Reason Text</t>
  </si>
  <si>
    <t>0</t>
  </si>
  <si>
    <t>1</t>
  </si>
  <si>
    <t>Perimeter Protection Fault</t>
  </si>
  <si>
    <t>2</t>
  </si>
  <si>
    <t>Mains turned off</t>
  </si>
  <si>
    <t>3</t>
  </si>
  <si>
    <t>Safety Gate/Guard Door Open</t>
  </si>
  <si>
    <t>4</t>
  </si>
  <si>
    <t>Cycle Stop Button Pushed</t>
  </si>
  <si>
    <t>Start Button Pushed</t>
  </si>
  <si>
    <t>Reset Button Pushed</t>
  </si>
  <si>
    <t>Jog Mode Selected</t>
  </si>
  <si>
    <t>Automatic Mode Selected</t>
  </si>
  <si>
    <t>Manual Mode Selected</t>
  </si>
  <si>
    <t>Semi-Automatic Mode Selected</t>
  </si>
  <si>
    <t>Material Jam</t>
  </si>
  <si>
    <t xml:space="preserve">Machine Jam </t>
  </si>
  <si>
    <t>Mechanical Overload</t>
  </si>
  <si>
    <t>Drive Failure</t>
  </si>
  <si>
    <t>Servo Axis Fault</t>
  </si>
  <si>
    <t>Servo Axis Failure</t>
  </si>
  <si>
    <t xml:space="preserve">Communication Error </t>
  </si>
  <si>
    <t>PLC Error Code</t>
  </si>
  <si>
    <t>Vacuum</t>
  </si>
  <si>
    <t>Air Pressure</t>
  </si>
  <si>
    <t>Voltage</t>
  </si>
  <si>
    <t>Temperature</t>
  </si>
  <si>
    <t>Hydraulic Pressure</t>
  </si>
  <si>
    <t>Hydraulic Level</t>
  </si>
  <si>
    <t>Hydraulic Temperature</t>
  </si>
  <si>
    <t>Counter Preset Reached</t>
  </si>
  <si>
    <t>Product Selected</t>
  </si>
  <si>
    <t>Local Slow Speed Requested</t>
  </si>
  <si>
    <t>Local Medium Speed Requested</t>
  </si>
  <si>
    <t>Local High Speed Requested</t>
  </si>
  <si>
    <t>Local Surge Speed Requested</t>
  </si>
  <si>
    <t>Remote Speed Requested</t>
  </si>
  <si>
    <t>Drive Warning</t>
  </si>
  <si>
    <t>Servo Warning</t>
  </si>
  <si>
    <t>Glue Fault</t>
  </si>
  <si>
    <t>Laser Fault</t>
  </si>
  <si>
    <t>Printer Fault</t>
  </si>
  <si>
    <t>Guard Door Lock Fault</t>
  </si>
  <si>
    <t>Coder Fault</t>
  </si>
  <si>
    <t>Labeller Fault</t>
  </si>
  <si>
    <t>Switch Fault</t>
  </si>
  <si>
    <t>Valve Fault</t>
  </si>
  <si>
    <t>Infeed Not turned On</t>
  </si>
  <si>
    <t>Infeed Overload</t>
  </si>
  <si>
    <t>Low Prime Material</t>
  </si>
  <si>
    <t>High Prime Material</t>
  </si>
  <si>
    <t>Vendor Definded Upstream Item 1</t>
  </si>
  <si>
    <t>Vendor Definded Upstream Item 2</t>
  </si>
  <si>
    <t>Vendor Definded Upstream Item 3</t>
  </si>
  <si>
    <t>Vendor Definded Upstream Item 4</t>
  </si>
  <si>
    <t>Vendor Definded Upstream Item 5</t>
  </si>
  <si>
    <t>Vendor Definded Upstream Item 6</t>
  </si>
  <si>
    <t>Vendor Definded Upstream Item 7</t>
  </si>
  <si>
    <t>Vendor Definded Upstream Item 8</t>
  </si>
  <si>
    <t>Vendor Definded Upstream Item 9</t>
  </si>
  <si>
    <t>Vendor Definded Upstream Item 10</t>
  </si>
  <si>
    <t>Vendor Definded Upstream Item 11</t>
  </si>
  <si>
    <t>Discharge Not Turned On</t>
  </si>
  <si>
    <t>Discharge Overload</t>
  </si>
  <si>
    <t>Discharge Blocked reason</t>
  </si>
  <si>
    <t>Discharge Cycle Stop reason</t>
  </si>
  <si>
    <t>Discharge Immediate Stop reason</t>
  </si>
  <si>
    <t>Vendor Definded Downstream Item 1</t>
  </si>
  <si>
    <t>Vendor Definded Downstream Item 2</t>
  </si>
  <si>
    <t>Vendor Definded Downstream Item 3</t>
  </si>
  <si>
    <t>Vendor Definded Downstream Item 4</t>
  </si>
  <si>
    <t>Vendor Definded Downstream Item 5</t>
  </si>
  <si>
    <t>Vendor Definded Downstream Item 6</t>
  </si>
  <si>
    <t>Vendor Definded Downstream Item 7</t>
  </si>
  <si>
    <t>Vendor Definded Downstream Item 8</t>
  </si>
  <si>
    <t>Vendor Definded Downstream Item 9</t>
  </si>
  <si>
    <t>Vendor Definded Downstream Item 10</t>
  </si>
  <si>
    <t>Vendor Definded Downstream Item 11</t>
  </si>
  <si>
    <t>Line Not Scheduled</t>
  </si>
  <si>
    <t>Planned Maintenance</t>
  </si>
  <si>
    <t>Meals and Rest</t>
  </si>
  <si>
    <t>Meetings</t>
  </si>
  <si>
    <t>Training</t>
  </si>
  <si>
    <t>No Packaging Materials</t>
  </si>
  <si>
    <t>Remote Stop Requested</t>
  </si>
  <si>
    <t>Machine Not Selected</t>
  </si>
  <si>
    <t>Changeover</t>
  </si>
  <si>
    <t>Lubrication</t>
  </si>
  <si>
    <t>Product count preset reached</t>
  </si>
  <si>
    <t>Setup Selected</t>
  </si>
  <si>
    <t>No Incoming Product</t>
  </si>
  <si>
    <t>Waiting for Electrical Service</t>
  </si>
  <si>
    <t>Waiting for Mechanical Service</t>
  </si>
  <si>
    <t>Alarms</t>
  </si>
  <si>
    <t>Descriptions</t>
  </si>
  <si>
    <t>P17_fb_SequenceAlarm.Alarm</t>
  </si>
  <si>
    <t>Main Drive Sequence Failed to Reach a Requested State</t>
  </si>
  <si>
    <t>Program:System._OEE_Flags.BreakActive_ALM.Alarm</t>
  </si>
  <si>
    <t>OEE Break Active</t>
  </si>
  <si>
    <t>P18_fb_SequenceAlarm.Alarm</t>
  </si>
  <si>
    <t>Minor folder Sequence Failed to Reach a Requested State</t>
  </si>
  <si>
    <t>P18a_fb_SequenceAlarm.Alarm</t>
  </si>
  <si>
    <t>Flap Prefolder Failed to Reach a Requested State</t>
  </si>
  <si>
    <t>P18b_fb_SequenceAlarm.Alarm</t>
  </si>
  <si>
    <t>Tuckin Sequence Failed to Reach a Requested State</t>
  </si>
  <si>
    <t>P27_fb_SequenceAlarm.Alarm</t>
  </si>
  <si>
    <t>MG Pick Place Sequence Failed to Reach a Requested State</t>
  </si>
  <si>
    <t>P31_fb_SequenceAlarm.Alarm</t>
  </si>
  <si>
    <t>Outfeed Rejection Sequence Failed to Reach a Requested State</t>
  </si>
  <si>
    <t>P31a_fb_SequenceAlarm.Alarm</t>
  </si>
  <si>
    <t>Outfeed Sequence Failed to Reach a Requested State</t>
  </si>
  <si>
    <t>P31b_fb_SequenceAlarm.Alarm</t>
  </si>
  <si>
    <t>P41_fb_SequenceAlarm.Alarm</t>
  </si>
  <si>
    <t>Pick Place Robot Sequence Failed to Reach a Requested State</t>
  </si>
  <si>
    <t>XC0302_HeartbeatALM.Alarm</t>
  </si>
  <si>
    <t>MCC Point IO Node Comms Failure</t>
  </si>
  <si>
    <t>XC0401_HeartbeatALM.Alarm</t>
  </si>
  <si>
    <t>Valve Bank 1 Comms Failure</t>
  </si>
  <si>
    <t>SC1701_HeartbeatALM.Alarm</t>
  </si>
  <si>
    <t>Maindrive Conveyor Drive Comms Failure</t>
  </si>
  <si>
    <t>SC2701_HeartbeatALM.Alarm</t>
  </si>
  <si>
    <t>Booklet Pick and Place Drive Comms Failure</t>
  </si>
  <si>
    <t>SC2301_HeartbeatALM.Alarm</t>
  </si>
  <si>
    <t>Infeed Conveyor Drive Comms Failure</t>
  </si>
  <si>
    <t>SC3101_HeartbeatALM.Alarm</t>
  </si>
  <si>
    <t>ALM_MainDriveNotInPosition.Alarm</t>
  </si>
  <si>
    <t>The Main Drive Was Not In Suitable Position To Start Executing</t>
  </si>
  <si>
    <t>RO4001_BlankRejects.Alarm</t>
  </si>
  <si>
    <t>Too Many Consecutive Rejected Blank Barcode Reads</t>
  </si>
  <si>
    <t>CA1701_Consecutive_Rejection</t>
  </si>
  <si>
    <t>Carton Barcode Cumulative Rejection Detected</t>
  </si>
  <si>
    <t>CA2701_Consecutive_Rejection</t>
  </si>
  <si>
    <t>Leaflet Barcode Cumulative Rejection Detected</t>
  </si>
  <si>
    <t>Event Code</t>
  </si>
  <si>
    <t>Event Message</t>
  </si>
  <si>
    <t>Tag 1</t>
  </si>
  <si>
    <t>Tag 2</t>
  </si>
  <si>
    <t>Tag 3</t>
  </si>
  <si>
    <t>Tag 4</t>
  </si>
  <si>
    <t>Login Level Changed. User Level is Now: /*S:0 %Tag1*/</t>
  </si>
  <si>
    <t>system\User</t>
  </si>
  <si>
    <t>Recipe File Loaded. Current Running Recipe is now /*S:0 %Tag1*/: /*S:0 %Tag2*/</t>
  </si>
  <si>
    <t>[rml]Recipe.Loaded.ProductID</t>
  </si>
  <si>
    <t>[rml]Recipe.Loaded.ProductDescription</t>
  </si>
  <si>
    <t>Recipe File /*S:0 %Tag1*/: /*S:0 %Tag2*/ has been modified.</t>
  </si>
  <si>
    <t>Guard Door 1</t>
  </si>
  <si>
    <t>Guard Door 2</t>
  </si>
  <si>
    <t>Guard Door 3</t>
  </si>
  <si>
    <t>.PML.Id</t>
  </si>
  <si>
    <t>192.168.250.1</t>
  </si>
  <si>
    <t>RO4001</t>
  </si>
  <si>
    <t>Lrmate</t>
  </si>
  <si>
    <t>192.168.250.10</t>
  </si>
  <si>
    <t>RO4101</t>
  </si>
  <si>
    <t>CRX20</t>
  </si>
  <si>
    <t>192.168.250.12</t>
  </si>
  <si>
    <t>RO4201</t>
  </si>
  <si>
    <t>CRX25</t>
  </si>
  <si>
    <t>192.168.250.11</t>
  </si>
  <si>
    <t>ValveBank</t>
  </si>
  <si>
    <t>192.168.250.94</t>
  </si>
  <si>
    <t>192.168.250.2</t>
  </si>
  <si>
    <t>Ethernet node list</t>
  </si>
  <si>
    <t>Ethercat Node list</t>
  </si>
  <si>
    <t>Remote IO</t>
  </si>
  <si>
    <t>SC6401</t>
  </si>
  <si>
    <t>Collater servo1</t>
  </si>
  <si>
    <t>SC6402</t>
  </si>
  <si>
    <t>Collater servo 2</t>
  </si>
  <si>
    <t>MO2301</t>
  </si>
  <si>
    <t>Infeed VFD</t>
  </si>
  <si>
    <t>MO3401</t>
  </si>
  <si>
    <t>Labling conveyor VFD</t>
  </si>
  <si>
    <t>Node Number</t>
  </si>
  <si>
    <t>Guard Door 4</t>
  </si>
  <si>
    <t>Omron</t>
  </si>
  <si>
    <t>ES1201.CH1</t>
  </si>
  <si>
    <t>ES1201.T1</t>
  </si>
  <si>
    <t>ES1201.CH2</t>
  </si>
  <si>
    <t>SP</t>
  </si>
  <si>
    <t>GZ1301_CH1</t>
  </si>
  <si>
    <t>GZ1301_CH2</t>
  </si>
  <si>
    <t>GZ1302_CH1</t>
  </si>
  <si>
    <t>GZ1303_CH1</t>
  </si>
  <si>
    <t>GZ1303_CH2</t>
  </si>
  <si>
    <t>GZ1304_CH1</t>
  </si>
  <si>
    <t>GZ1304_CH2</t>
  </si>
  <si>
    <t>K0320</t>
  </si>
  <si>
    <t>ES1201_CH1</t>
  </si>
  <si>
    <t>ES1201_CH2</t>
  </si>
  <si>
    <t>Project: 16797</t>
  </si>
  <si>
    <t>Infeed Conveyor motor 1</t>
  </si>
  <si>
    <t>Infeed Conveyor Drive</t>
  </si>
  <si>
    <t>Collation Bin Full Detect</t>
  </si>
  <si>
    <t>Robot Assembly with Pickhead</t>
  </si>
  <si>
    <t>Pickhead Cyl 1</t>
  </si>
  <si>
    <t>Pickhead Cyl 2</t>
  </si>
  <si>
    <t>Cavity presence Detect 1</t>
  </si>
  <si>
    <t>Cavity presence Detect 2</t>
  </si>
  <si>
    <t>Cavity presence Detect 3</t>
  </si>
  <si>
    <t>Pusher Cyl</t>
  </si>
  <si>
    <t>Infeed Conveyor 2</t>
  </si>
  <si>
    <t>Infeed Conveyor motor 2</t>
  </si>
  <si>
    <t>Infeed Conveyor Drive 2</t>
  </si>
  <si>
    <t>CA</t>
  </si>
  <si>
    <t>Camera</t>
  </si>
  <si>
    <t>JB</t>
  </si>
  <si>
    <t>Junction Box</t>
  </si>
  <si>
    <t xml:space="preserve">Vision System </t>
  </si>
  <si>
    <t>Down Stream Ready (Mulitvac Machine Ready)</t>
  </si>
  <si>
    <t>Multivac Conveyor Index Signal</t>
  </si>
  <si>
    <t>DI0351</t>
  </si>
  <si>
    <t>ES1001</t>
  </si>
  <si>
    <t>ES1002</t>
  </si>
  <si>
    <t>ES1201</t>
  </si>
  <si>
    <t>GZ1301</t>
  </si>
  <si>
    <t>GZ1302</t>
  </si>
  <si>
    <t>GZ1303</t>
  </si>
  <si>
    <t>GZ1304</t>
  </si>
  <si>
    <t>PE1701</t>
  </si>
  <si>
    <t>PE4101</t>
  </si>
  <si>
    <t>PE5101</t>
  </si>
  <si>
    <t>PE5102</t>
  </si>
  <si>
    <t>PE5103</t>
  </si>
  <si>
    <t>PE5104</t>
  </si>
  <si>
    <t>ES1001_FB</t>
  </si>
  <si>
    <t>ES1002_FB</t>
  </si>
  <si>
    <t>ES1201_FB</t>
  </si>
  <si>
    <t>GZ1301_FB</t>
  </si>
  <si>
    <t>GZ1302_FB</t>
  </si>
  <si>
    <t>GZ1303_FB</t>
  </si>
  <si>
    <t>GZ1304_FB</t>
  </si>
  <si>
    <t>CY4101_E</t>
  </si>
  <si>
    <t>CY4101_R</t>
  </si>
  <si>
    <t>CY4102_E</t>
  </si>
  <si>
    <t>CY4102_R</t>
  </si>
  <si>
    <t>DO0301</t>
  </si>
  <si>
    <t>CY4101_EX</t>
  </si>
  <si>
    <t>CY4101_RT</t>
  </si>
  <si>
    <t>CY4102_EX</t>
  </si>
  <si>
    <t>CY4102_RT</t>
  </si>
  <si>
    <t>Pendent E-Stop</t>
  </si>
  <si>
    <t>ES0301_FB</t>
  </si>
  <si>
    <t>ER2.</t>
  </si>
  <si>
    <t>525120 -  Safety Extender Module 1</t>
  </si>
  <si>
    <t>Safety Relay</t>
  </si>
  <si>
    <t>Pliz</t>
  </si>
  <si>
    <t>750103</t>
  </si>
  <si>
    <t>525120 -  Safety Extender Module 2</t>
  </si>
  <si>
    <t>525120 -  Safety Extender Module 3</t>
  </si>
  <si>
    <t>ER3.</t>
  </si>
  <si>
    <t>ER4.</t>
  </si>
  <si>
    <t>Safety Inputs</t>
  </si>
  <si>
    <t>Safety Outputs</t>
  </si>
  <si>
    <t>Y1</t>
  </si>
  <si>
    <t>Y2</t>
  </si>
  <si>
    <t>Y3</t>
  </si>
  <si>
    <t>Y4</t>
  </si>
  <si>
    <t>ES0301</t>
  </si>
  <si>
    <t>ES0301_CH1</t>
  </si>
  <si>
    <t>ES0301_CH2</t>
  </si>
  <si>
    <t>Robot Controller</t>
  </si>
  <si>
    <t>Multivac Conveyo/ Downstream Conveyor</t>
  </si>
  <si>
    <t>Multivac Encoder</t>
  </si>
  <si>
    <t>Feedbacks</t>
  </si>
  <si>
    <t>XC0301:1:I.</t>
  </si>
  <si>
    <t>XC0301:2:I.</t>
  </si>
  <si>
    <t>XC0301:3.O.</t>
  </si>
  <si>
    <t>XC0301:4:O.</t>
  </si>
  <si>
    <t>Pickhead Eye</t>
  </si>
  <si>
    <t>Product height Check detect optic Fibre sensor</t>
  </si>
  <si>
    <t>Infeed Conveyor 3</t>
  </si>
  <si>
    <t>Infeed Conveyor-3</t>
  </si>
  <si>
    <t>Infeed Conveyor - 3 Drive</t>
  </si>
  <si>
    <t>Infeed conveyor -3 Encoder</t>
  </si>
  <si>
    <t xml:space="preserve">Robotic Pick and Place  </t>
  </si>
  <si>
    <t>192.168.250.001</t>
  </si>
  <si>
    <t>Main Drive</t>
  </si>
  <si>
    <t>SV4101</t>
  </si>
  <si>
    <t>PickHead Vaccum &amp; Purging Solenoid</t>
  </si>
  <si>
    <t>SV0401_EN1</t>
  </si>
  <si>
    <t>SV0401_EN2</t>
  </si>
  <si>
    <t>GZ1301.11</t>
  </si>
  <si>
    <t>GZ1301.12</t>
  </si>
  <si>
    <t>GZ1301.21</t>
  </si>
  <si>
    <t>GZ1301.22</t>
  </si>
  <si>
    <t>GZ1302.11</t>
  </si>
  <si>
    <t>GZ1302.21</t>
  </si>
  <si>
    <t>GZ1303.11</t>
  </si>
  <si>
    <t>GZ1303.21</t>
  </si>
  <si>
    <t>GZ1304.11</t>
  </si>
  <si>
    <t>GZ1304.21</t>
  </si>
  <si>
    <t>GZ1302.12</t>
  </si>
  <si>
    <t>GZ1302.22</t>
  </si>
  <si>
    <t>GZ1303.12</t>
  </si>
  <si>
    <t>GZ1303.22</t>
  </si>
  <si>
    <t>GZ1304.22</t>
  </si>
  <si>
    <t>K1301.24V</t>
  </si>
  <si>
    <t>ES1201.TO</t>
  </si>
  <si>
    <t>K1301.0V</t>
  </si>
  <si>
    <t>HT1301</t>
  </si>
  <si>
    <t>OP0301.24V</t>
  </si>
  <si>
    <t>OP0301.0V</t>
  </si>
  <si>
    <t>RO4101.24V</t>
  </si>
  <si>
    <t>RO4101.0V</t>
  </si>
  <si>
    <t>PE1701.24V</t>
  </si>
  <si>
    <t>PE1701.0V</t>
  </si>
  <si>
    <t>IL0305</t>
  </si>
  <si>
    <t>IL0306.0V</t>
  </si>
  <si>
    <t>ES1001.11</t>
  </si>
  <si>
    <t>ES1001.13</t>
  </si>
  <si>
    <t>ES1001.12</t>
  </si>
  <si>
    <t>ES1001.14</t>
  </si>
  <si>
    <t>XC0301.24V</t>
  </si>
  <si>
    <t>XC0301.0V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</si>
</sst>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7"/>
      <color theme="1"/>
      <name val="Arial"/>
      <family val="2"/>
    </font>
    <font>
      <sz val="7"/>
      <color rgb="FF000000"/>
      <name val="Arial"/>
      <family val="2"/>
    </font>
    <font>
      <b/>
      <sz val="7"/>
      <color theme="1"/>
      <name val="Arial"/>
      <family val="2"/>
    </font>
    <font>
      <b/>
      <sz val="24"/>
      <color theme="1"/>
      <name val="Arial"/>
      <family val="2"/>
    </font>
    <font>
      <b/>
      <sz val="18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9"/>
      <name val="Arial"/>
      <family val="2"/>
    </font>
    <font>
      <b/>
      <sz val="9"/>
      <color theme="1"/>
      <name val="Arial"/>
      <family val="2"/>
    </font>
    <font>
      <sz val="10"/>
      <color theme="1"/>
      <name val="Century Gothic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1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7"/>
      <name val="Arial Narrow"/>
      <family val="2"/>
    </font>
    <font>
      <u/>
      <sz val="10"/>
      <color theme="10"/>
      <name val="Arial"/>
      <family val="2"/>
    </font>
    <font>
      <sz val="8"/>
      <color indexed="8"/>
      <name val="Tahoma"/>
      <family val="2"/>
    </font>
    <font>
      <sz val="11"/>
      <name val="Calibri"/>
      <family val="2"/>
    </font>
    <font>
      <b/>
      <sz val="18"/>
      <color theme="3"/>
      <name val="Calibri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2"/>
      <name val="Arial"/>
      <family val="2"/>
    </font>
    <font>
      <sz val="8"/>
      <name val="Calibri"/>
      <family val="2"/>
      <scheme val="minor"/>
    </font>
  </fonts>
  <fills count="72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C0C0C0"/>
        <bgColor rgb="FFC0C0C0"/>
      </patternFill>
    </fill>
    <fill>
      <patternFill patternType="solid">
        <fgColor theme="9"/>
        <bgColor theme="9"/>
      </patternFill>
    </fill>
    <fill>
      <patternFill patternType="solid">
        <fgColor rgb="FF7030A0"/>
        <bgColor rgb="FF7030A0"/>
      </patternFill>
    </fill>
    <fill>
      <patternFill patternType="solid">
        <fgColor rgb="FF00CCFF"/>
        <bgColor rgb="FF00CCFF"/>
      </patternFill>
    </fill>
    <fill>
      <patternFill patternType="solid">
        <fgColor rgb="FF339966"/>
        <bgColor rgb="FF339966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rgb="FFFFC000"/>
      </patternFill>
    </fill>
    <fill>
      <patternFill patternType="solid">
        <fgColor theme="5" tint="0.59999389629810485"/>
        <bgColor rgb="FFFFC000"/>
      </patternFill>
    </fill>
    <fill>
      <patternFill patternType="solid">
        <fgColor theme="7" tint="0.79998168889431442"/>
        <bgColor indexed="64"/>
      </patternFill>
    </fill>
  </fills>
  <borders count="5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theme="4" tint="0.39994506668294322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124">
    <xf numFmtId="0" fontId="0" fillId="0" borderId="0"/>
    <xf numFmtId="0" fontId="19" fillId="0" borderId="1"/>
    <xf numFmtId="0" fontId="23" fillId="0" borderId="1"/>
    <xf numFmtId="0" fontId="8" fillId="0" borderId="1"/>
    <xf numFmtId="0" fontId="8" fillId="0" borderId="1"/>
    <xf numFmtId="0" fontId="42" fillId="0" borderId="1"/>
    <xf numFmtId="0" fontId="59" fillId="31" borderId="1" applyNumberFormat="0" applyBorder="0" applyAlignment="0" applyProtection="0"/>
    <xf numFmtId="0" fontId="2" fillId="43" borderId="1" applyNumberFormat="0" applyBorder="0" applyAlignment="0" applyProtection="0"/>
    <xf numFmtId="0" fontId="59" fillId="28" borderId="1" applyNumberFormat="0" applyBorder="0" applyAlignment="0" applyProtection="0"/>
    <xf numFmtId="0" fontId="2" fillId="44" borderId="1" applyNumberFormat="0" applyBorder="0" applyAlignment="0" applyProtection="0"/>
    <xf numFmtId="0" fontId="59" fillId="27" borderId="1" applyNumberFormat="0" applyBorder="0" applyAlignment="0" applyProtection="0"/>
    <xf numFmtId="0" fontId="2" fillId="45" borderId="1" applyNumberFormat="0" applyBorder="0" applyAlignment="0" applyProtection="0"/>
    <xf numFmtId="0" fontId="59" fillId="38" borderId="1" applyNumberFormat="0" applyBorder="0" applyAlignment="0" applyProtection="0"/>
    <xf numFmtId="0" fontId="2" fillId="46" borderId="1" applyNumberFormat="0" applyBorder="0" applyAlignment="0" applyProtection="0"/>
    <xf numFmtId="0" fontId="59" fillId="40" borderId="1" applyNumberFormat="0" applyBorder="0" applyAlignment="0" applyProtection="0"/>
    <xf numFmtId="0" fontId="2" fillId="47" borderId="1" applyNumberFormat="0" applyBorder="0" applyAlignment="0" applyProtection="0"/>
    <xf numFmtId="0" fontId="59" fillId="25" borderId="1" applyNumberFormat="0" applyBorder="0" applyAlignment="0" applyProtection="0"/>
    <xf numFmtId="0" fontId="2" fillId="48" borderId="1" applyNumberFormat="0" applyBorder="0" applyAlignment="0" applyProtection="0"/>
    <xf numFmtId="0" fontId="59" fillId="32" borderId="1" applyNumberFormat="0" applyBorder="0" applyAlignment="0" applyProtection="0"/>
    <xf numFmtId="0" fontId="2" fillId="16" borderId="1" applyNumberFormat="0" applyBorder="0" applyAlignment="0" applyProtection="0"/>
    <xf numFmtId="0" fontId="59" fillId="35" borderId="1" applyNumberFormat="0" applyBorder="0" applyAlignment="0" applyProtection="0"/>
    <xf numFmtId="0" fontId="2" fillId="17" borderId="1" applyNumberFormat="0" applyBorder="0" applyAlignment="0" applyProtection="0"/>
    <xf numFmtId="0" fontId="59" fillId="36" borderId="1" applyNumberFormat="0" applyBorder="0" applyAlignment="0" applyProtection="0"/>
    <xf numFmtId="0" fontId="2" fillId="15" borderId="1" applyNumberFormat="0" applyBorder="0" applyAlignment="0" applyProtection="0"/>
    <xf numFmtId="0" fontId="59" fillId="38" borderId="1" applyNumberFormat="0" applyBorder="0" applyAlignment="0" applyProtection="0"/>
    <xf numFmtId="0" fontId="2" fillId="49" borderId="1" applyNumberFormat="0" applyBorder="0" applyAlignment="0" applyProtection="0"/>
    <xf numFmtId="0" fontId="59" fillId="32" borderId="1" applyNumberFormat="0" applyBorder="0" applyAlignment="0" applyProtection="0"/>
    <xf numFmtId="0" fontId="2" fillId="50" borderId="1" applyNumberFormat="0" applyBorder="0" applyAlignment="0" applyProtection="0"/>
    <xf numFmtId="0" fontId="59" fillId="42" borderId="1" applyNumberFormat="0" applyBorder="0" applyAlignment="0" applyProtection="0"/>
    <xf numFmtId="0" fontId="2" fillId="14" borderId="1" applyNumberFormat="0" applyBorder="0" applyAlignment="0" applyProtection="0"/>
    <xf numFmtId="0" fontId="58" fillId="33" borderId="1" applyNumberFormat="0" applyBorder="0" applyAlignment="0" applyProtection="0"/>
    <xf numFmtId="0" fontId="40" fillId="51" borderId="1" applyNumberFormat="0" applyBorder="0" applyAlignment="0" applyProtection="0"/>
    <xf numFmtId="0" fontId="58" fillId="35" borderId="1" applyNumberFormat="0" applyBorder="0" applyAlignment="0" applyProtection="0"/>
    <xf numFmtId="0" fontId="40" fillId="52" borderId="1" applyNumberFormat="0" applyBorder="0" applyAlignment="0" applyProtection="0"/>
    <xf numFmtId="0" fontId="58" fillId="36" borderId="1" applyNumberFormat="0" applyBorder="0" applyAlignment="0" applyProtection="0"/>
    <xf numFmtId="0" fontId="40" fillId="53" borderId="1" applyNumberFormat="0" applyBorder="0" applyAlignment="0" applyProtection="0"/>
    <xf numFmtId="0" fontId="58" fillId="37" borderId="1" applyNumberFormat="0" applyBorder="0" applyAlignment="0" applyProtection="0"/>
    <xf numFmtId="0" fontId="40" fillId="22" borderId="1" applyNumberFormat="0" applyBorder="0" applyAlignment="0" applyProtection="0"/>
    <xf numFmtId="0" fontId="58" fillId="39" borderId="1" applyNumberFormat="0" applyBorder="0" applyAlignment="0" applyProtection="0"/>
    <xf numFmtId="0" fontId="40" fillId="19" borderId="1" applyNumberFormat="0" applyBorder="0" applyAlignment="0" applyProtection="0"/>
    <xf numFmtId="0" fontId="58" fillId="12" borderId="1" applyNumberFormat="0" applyBorder="0" applyAlignment="0" applyProtection="0"/>
    <xf numFmtId="0" fontId="40" fillId="24" borderId="1" applyNumberFormat="0" applyBorder="0" applyAlignment="0" applyProtection="0"/>
    <xf numFmtId="0" fontId="58" fillId="30" borderId="1" applyNumberFormat="0" applyBorder="0" applyAlignment="0" applyProtection="0"/>
    <xf numFmtId="0" fontId="40" fillId="54" borderId="1" applyNumberFormat="0" applyBorder="0" applyAlignment="0" applyProtection="0"/>
    <xf numFmtId="0" fontId="58" fillId="34" borderId="1" applyNumberFormat="0" applyBorder="0" applyAlignment="0" applyProtection="0"/>
    <xf numFmtId="0" fontId="40" fillId="55" borderId="1" applyNumberFormat="0" applyBorder="0" applyAlignment="0" applyProtection="0"/>
    <xf numFmtId="0" fontId="58" fillId="21" borderId="1" applyNumberFormat="0" applyBorder="0" applyAlignment="0" applyProtection="0"/>
    <xf numFmtId="0" fontId="40" fillId="56" borderId="1" applyNumberFormat="0" applyBorder="0" applyAlignment="0" applyProtection="0"/>
    <xf numFmtId="0" fontId="58" fillId="37" borderId="1" applyNumberFormat="0" applyBorder="0" applyAlignment="0" applyProtection="0"/>
    <xf numFmtId="0" fontId="40" fillId="57" borderId="1" applyNumberFormat="0" applyBorder="0" applyAlignment="0" applyProtection="0"/>
    <xf numFmtId="0" fontId="58" fillId="39" borderId="1" applyNumberFormat="0" applyBorder="0" applyAlignment="0" applyProtection="0"/>
    <xf numFmtId="0" fontId="40" fillId="58" borderId="1" applyNumberFormat="0" applyBorder="0" applyAlignment="0" applyProtection="0"/>
    <xf numFmtId="0" fontId="58" fillId="41" borderId="1" applyNumberFormat="0" applyBorder="0" applyAlignment="0" applyProtection="0"/>
    <xf numFmtId="0" fontId="40" fillId="23" borderId="1" applyNumberFormat="0" applyBorder="0" applyAlignment="0" applyProtection="0"/>
    <xf numFmtId="0" fontId="31" fillId="59" borderId="1" applyNumberFormat="0" applyBorder="0" applyAlignment="0" applyProtection="0"/>
    <xf numFmtId="0" fontId="56" fillId="28" borderId="1" applyNumberFormat="0" applyBorder="0" applyAlignment="0" applyProtection="0"/>
    <xf numFmtId="0" fontId="51" fillId="20" borderId="49" applyNumberFormat="0" applyAlignment="0" applyProtection="0"/>
    <xf numFmtId="0" fontId="35" fillId="60" borderId="38" applyNumberFormat="0" applyAlignment="0" applyProtection="0"/>
    <xf numFmtId="0" fontId="52" fillId="26" borderId="51" applyNumberFormat="0" applyAlignment="0" applyProtection="0"/>
    <xf numFmtId="0" fontId="37" fillId="61" borderId="41" applyNumberFormat="0" applyAlignment="0" applyProtection="0"/>
    <xf numFmtId="0" fontId="45" fillId="0" borderId="1" applyNumberFormat="0" applyFill="0" applyBorder="0" applyAlignment="0" applyProtection="0"/>
    <xf numFmtId="0" fontId="39" fillId="0" borderId="1" applyNumberFormat="0" applyFill="0" applyBorder="0" applyAlignment="0" applyProtection="0"/>
    <xf numFmtId="0" fontId="55" fillId="27" borderId="1" applyNumberFormat="0" applyBorder="0" applyAlignment="0" applyProtection="0"/>
    <xf numFmtId="0" fontId="55" fillId="27" borderId="1" applyNumberFormat="0" applyBorder="0" applyAlignment="0" applyProtection="0"/>
    <xf numFmtId="0" fontId="30" fillId="62" borderId="1" applyNumberFormat="0" applyBorder="0" applyAlignment="0" applyProtection="0"/>
    <xf numFmtId="0" fontId="60" fillId="0" borderId="54"/>
    <xf numFmtId="0" fontId="46" fillId="0" borderId="46" applyNumberFormat="0" applyFill="0" applyAlignment="0" applyProtection="0"/>
    <xf numFmtId="0" fontId="27" fillId="0" borderId="36" applyNumberFormat="0" applyFill="0" applyAlignment="0" applyProtection="0"/>
    <xf numFmtId="0" fontId="47" fillId="0" borderId="47" applyNumberFormat="0" applyFill="0" applyAlignment="0" applyProtection="0"/>
    <xf numFmtId="0" fontId="28" fillId="0" borderId="37" applyNumberFormat="0" applyFill="0" applyAlignment="0" applyProtection="0"/>
    <xf numFmtId="0" fontId="48" fillId="0" borderId="48" applyNumberFormat="0" applyFill="0" applyAlignment="0" applyProtection="0"/>
    <xf numFmtId="0" fontId="29" fillId="0" borderId="55" applyNumberFormat="0" applyFill="0" applyAlignment="0" applyProtection="0"/>
    <xf numFmtId="0" fontId="48" fillId="0" borderId="1" applyNumberFormat="0" applyFill="0" applyBorder="0" applyAlignment="0" applyProtection="0"/>
    <xf numFmtId="0" fontId="29" fillId="0" borderId="1" applyNumberFormat="0" applyFill="0" applyBorder="0" applyAlignment="0" applyProtection="0"/>
    <xf numFmtId="0" fontId="61" fillId="0" borderId="1" applyNumberFormat="0" applyFill="0" applyBorder="0" applyAlignment="0" applyProtection="0"/>
    <xf numFmtId="0" fontId="49" fillId="25" borderId="49" applyNumberFormat="0" applyAlignment="0" applyProtection="0"/>
    <xf numFmtId="0" fontId="33" fillId="63" borderId="38" applyNumberFormat="0" applyAlignment="0" applyProtection="0"/>
    <xf numFmtId="0" fontId="53" fillId="0" borderId="52" applyNumberFormat="0" applyFill="0" applyAlignment="0" applyProtection="0"/>
    <xf numFmtId="0" fontId="36" fillId="0" borderId="40" applyNumberFormat="0" applyFill="0" applyAlignment="0" applyProtection="0"/>
    <xf numFmtId="0" fontId="57" fillId="29" borderId="1" applyNumberFormat="0" applyBorder="0" applyAlignment="0" applyProtection="0"/>
    <xf numFmtId="0" fontId="32" fillId="64" borderId="1" applyNumberFormat="0" applyBorder="0" applyAlignment="0" applyProtection="0"/>
    <xf numFmtId="0" fontId="19" fillId="0" borderId="1"/>
    <xf numFmtId="0" fontId="62" fillId="0" borderId="1"/>
    <xf numFmtId="0" fontId="19" fillId="0" borderId="1"/>
    <xf numFmtId="0" fontId="19" fillId="0" borderId="1"/>
    <xf numFmtId="0" fontId="19" fillId="0" borderId="1"/>
    <xf numFmtId="0" fontId="19" fillId="0" borderId="1"/>
    <xf numFmtId="0" fontId="2" fillId="0" borderId="1"/>
    <xf numFmtId="0" fontId="19" fillId="0" borderId="1"/>
    <xf numFmtId="0" fontId="2" fillId="0" borderId="1"/>
    <xf numFmtId="0" fontId="63" fillId="0" borderId="1"/>
    <xf numFmtId="0" fontId="2" fillId="0" borderId="1"/>
    <xf numFmtId="0" fontId="19" fillId="18" borderId="45" applyNumberFormat="0" applyFont="0" applyAlignment="0" applyProtection="0"/>
    <xf numFmtId="0" fontId="2" fillId="65" borderId="42" applyNumberFormat="0" applyFont="0" applyAlignment="0" applyProtection="0"/>
    <xf numFmtId="0" fontId="50" fillId="20" borderId="50" applyNumberFormat="0" applyAlignment="0" applyProtection="0"/>
    <xf numFmtId="0" fontId="34" fillId="60" borderId="39" applyNumberFormat="0" applyAlignment="0" applyProtection="0"/>
    <xf numFmtId="0" fontId="44" fillId="0" borderId="1" applyNumberFormat="0" applyFill="0" applyBorder="0" applyAlignment="0" applyProtection="0"/>
    <xf numFmtId="0" fontId="64" fillId="0" borderId="1" applyNumberFormat="0" applyFill="0" applyBorder="0" applyAlignment="0" applyProtection="0"/>
    <xf numFmtId="0" fontId="54" fillId="0" borderId="53" applyNumberFormat="0" applyFill="0" applyAlignment="0" applyProtection="0"/>
    <xf numFmtId="0" fontId="25" fillId="0" borderId="43" applyNumberFormat="0" applyFill="0" applyAlignment="0" applyProtection="0"/>
    <xf numFmtId="0" fontId="43" fillId="0" borderId="1" applyNumberFormat="0" applyFill="0" applyBorder="0" applyAlignment="0" applyProtection="0"/>
    <xf numFmtId="0" fontId="38" fillId="0" borderId="1" applyNumberFormat="0" applyFill="0" applyBorder="0" applyAlignment="0" applyProtection="0"/>
    <xf numFmtId="0" fontId="2" fillId="43" borderId="1" applyNumberFormat="0" applyBorder="0" applyAlignment="0" applyProtection="0"/>
    <xf numFmtId="0" fontId="2" fillId="44" borderId="1" applyNumberFormat="0" applyBorder="0" applyAlignment="0" applyProtection="0"/>
    <xf numFmtId="0" fontId="2" fillId="45" borderId="1" applyNumberFormat="0" applyBorder="0" applyAlignment="0" applyProtection="0"/>
    <xf numFmtId="0" fontId="2" fillId="46" borderId="1" applyNumberFormat="0" applyBorder="0" applyAlignment="0" applyProtection="0"/>
    <xf numFmtId="0" fontId="2" fillId="47" borderId="1" applyNumberFormat="0" applyBorder="0" applyAlignment="0" applyProtection="0"/>
    <xf numFmtId="0" fontId="2" fillId="48" borderId="1" applyNumberFormat="0" applyBorder="0" applyAlignment="0" applyProtection="0"/>
    <xf numFmtId="0" fontId="2" fillId="16" borderId="1" applyNumberFormat="0" applyBorder="0" applyAlignment="0" applyProtection="0"/>
    <xf numFmtId="0" fontId="2" fillId="17" borderId="1" applyNumberFormat="0" applyBorder="0" applyAlignment="0" applyProtection="0"/>
    <xf numFmtId="0" fontId="49" fillId="25" borderId="49" applyNumberFormat="0" applyAlignment="0" applyProtection="0"/>
    <xf numFmtId="0" fontId="2" fillId="15" borderId="1" applyNumberFormat="0" applyBorder="0" applyAlignment="0" applyProtection="0"/>
    <xf numFmtId="0" fontId="2" fillId="49" borderId="1" applyNumberFormat="0" applyBorder="0" applyAlignment="0" applyProtection="0"/>
    <xf numFmtId="0" fontId="2" fillId="50" borderId="1" applyNumberFormat="0" applyBorder="0" applyAlignment="0" applyProtection="0"/>
    <xf numFmtId="0" fontId="2" fillId="14" borderId="1" applyNumberFormat="0" applyBorder="0" applyAlignment="0" applyProtection="0"/>
    <xf numFmtId="0" fontId="48" fillId="0" borderId="48" applyNumberFormat="0" applyFill="0" applyAlignment="0" applyProtection="0"/>
    <xf numFmtId="0" fontId="51" fillId="20" borderId="49" applyNumberFormat="0" applyAlignment="0" applyProtection="0"/>
    <xf numFmtId="0" fontId="2" fillId="0" borderId="1"/>
    <xf numFmtId="0" fontId="2" fillId="0" borderId="1"/>
    <xf numFmtId="0" fontId="2" fillId="0" borderId="1"/>
    <xf numFmtId="0" fontId="2" fillId="65" borderId="42" applyNumberFormat="0" applyFont="0" applyAlignment="0" applyProtection="0"/>
    <xf numFmtId="0" fontId="19" fillId="18" borderId="45" applyNumberFormat="0" applyFont="0" applyAlignment="0" applyProtection="0"/>
    <xf numFmtId="0" fontId="50" fillId="20" borderId="50" applyNumberFormat="0" applyAlignment="0" applyProtection="0"/>
    <xf numFmtId="0" fontId="54" fillId="0" borderId="53" applyNumberFormat="0" applyFill="0" applyAlignment="0" applyProtection="0"/>
  </cellStyleXfs>
  <cellXfs count="162">
    <xf numFmtId="0" fontId="0" fillId="0" borderId="0" xfId="0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9" fillId="2" borderId="1" xfId="0" applyFont="1" applyFill="1" applyBorder="1"/>
    <xf numFmtId="0" fontId="9" fillId="2" borderId="1" xfId="0" applyFont="1" applyFill="1" applyBorder="1" applyAlignment="1">
      <alignment wrapText="1"/>
    </xf>
    <xf numFmtId="0" fontId="9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4" fillId="2" borderId="2" xfId="0" applyFont="1" applyFill="1" applyBorder="1" applyAlignment="1">
      <alignment vertical="center"/>
    </xf>
    <xf numFmtId="49" fontId="4" fillId="3" borderId="1" xfId="0" applyNumberFormat="1" applyFont="1" applyFill="1" applyBorder="1"/>
    <xf numFmtId="0" fontId="4" fillId="3" borderId="1" xfId="0" applyFont="1" applyFill="1" applyBorder="1"/>
    <xf numFmtId="49" fontId="7" fillId="0" borderId="0" xfId="0" applyNumberFormat="1" applyFont="1"/>
    <xf numFmtId="49" fontId="14" fillId="2" borderId="1" xfId="0" applyNumberFormat="1" applyFont="1" applyFill="1" applyBorder="1" applyAlignment="1">
      <alignment vertical="center"/>
    </xf>
    <xf numFmtId="0" fontId="7" fillId="2" borderId="1" xfId="0" applyFont="1" applyFill="1" applyBorder="1"/>
    <xf numFmtId="0" fontId="14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left" vertical="center"/>
    </xf>
    <xf numFmtId="49" fontId="11" fillId="2" borderId="1" xfId="0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49" fontId="15" fillId="2" borderId="1" xfId="0" applyNumberFormat="1" applyFont="1" applyFill="1" applyBorder="1" applyAlignment="1">
      <alignment vertical="center"/>
    </xf>
    <xf numFmtId="0" fontId="11" fillId="2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wrapText="1"/>
    </xf>
    <xf numFmtId="49" fontId="4" fillId="3" borderId="6" xfId="0" applyNumberFormat="1" applyFont="1" applyFill="1" applyBorder="1" applyAlignment="1">
      <alignment wrapText="1"/>
    </xf>
    <xf numFmtId="0" fontId="4" fillId="3" borderId="6" xfId="0" applyFont="1" applyFill="1" applyBorder="1" applyAlignment="1">
      <alignment wrapText="1"/>
    </xf>
    <xf numFmtId="0" fontId="4" fillId="3" borderId="6" xfId="0" applyFont="1" applyFill="1" applyBorder="1" applyAlignment="1">
      <alignment horizontal="left" wrapText="1"/>
    </xf>
    <xf numFmtId="0" fontId="4" fillId="3" borderId="7" xfId="0" applyFont="1" applyFill="1" applyBorder="1" applyAlignment="1">
      <alignment wrapText="1"/>
    </xf>
    <xf numFmtId="0" fontId="4" fillId="3" borderId="7" xfId="0" applyFont="1" applyFill="1" applyBorder="1" applyAlignment="1">
      <alignment horizontal="left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49" fontId="7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49" fontId="17" fillId="0" borderId="0" xfId="0" applyNumberFormat="1" applyFont="1" applyAlignment="1">
      <alignment horizontal="left" vertical="center"/>
    </xf>
    <xf numFmtId="49" fontId="6" fillId="0" borderId="0" xfId="0" applyNumberFormat="1" applyFont="1"/>
    <xf numFmtId="0" fontId="7" fillId="0" borderId="0" xfId="0" applyFont="1" applyAlignment="1">
      <alignment vertical="center"/>
    </xf>
    <xf numFmtId="49" fontId="4" fillId="0" borderId="0" xfId="0" applyNumberFormat="1" applyFont="1"/>
    <xf numFmtId="0" fontId="6" fillId="4" borderId="1" xfId="0" applyFont="1" applyFill="1" applyBorder="1" applyAlignment="1">
      <alignment horizontal="left"/>
    </xf>
    <xf numFmtId="49" fontId="4" fillId="4" borderId="1" xfId="0" applyNumberFormat="1" applyFont="1" applyFill="1" applyBorder="1"/>
    <xf numFmtId="0" fontId="7" fillId="4" borderId="1" xfId="0" applyFont="1" applyFill="1" applyBorder="1"/>
    <xf numFmtId="49" fontId="7" fillId="4" borderId="1" xfId="0" applyNumberFormat="1" applyFont="1" applyFill="1" applyBorder="1"/>
    <xf numFmtId="0" fontId="14" fillId="0" borderId="8" xfId="0" applyFont="1" applyBorder="1" applyAlignment="1">
      <alignment vertical="center"/>
    </xf>
    <xf numFmtId="0" fontId="4" fillId="3" borderId="6" xfId="0" applyFont="1" applyFill="1" applyBorder="1"/>
    <xf numFmtId="0" fontId="6" fillId="0" borderId="6" xfId="0" applyFont="1" applyBorder="1"/>
    <xf numFmtId="0" fontId="6" fillId="0" borderId="6" xfId="0" applyFont="1" applyBorder="1" applyAlignment="1">
      <alignment horizontal="center"/>
    </xf>
    <xf numFmtId="0" fontId="4" fillId="2" borderId="9" xfId="0" applyFont="1" applyFill="1" applyBorder="1" applyAlignment="1">
      <alignment horizontal="left"/>
    </xf>
    <xf numFmtId="0" fontId="6" fillId="0" borderId="3" xfId="0" applyFont="1" applyBorder="1"/>
    <xf numFmtId="0" fontId="6" fillId="0" borderId="4" xfId="0" applyFont="1" applyBorder="1" applyAlignment="1">
      <alignment horizontal="center"/>
    </xf>
    <xf numFmtId="9" fontId="6" fillId="0" borderId="4" xfId="0" applyNumberFormat="1" applyFont="1" applyBorder="1"/>
    <xf numFmtId="0" fontId="6" fillId="0" borderId="5" xfId="0" applyFont="1" applyBorder="1"/>
    <xf numFmtId="0" fontId="6" fillId="0" borderId="3" xfId="0" applyFont="1" applyBorder="1" applyAlignment="1">
      <alignment horizontal="center"/>
    </xf>
    <xf numFmtId="0" fontId="4" fillId="6" borderId="9" xfId="0" applyFont="1" applyFill="1" applyBorder="1" applyAlignment="1">
      <alignment horizontal="left"/>
    </xf>
    <xf numFmtId="0" fontId="4" fillId="6" borderId="6" xfId="0" applyFont="1" applyFill="1" applyBorder="1" applyAlignment="1">
      <alignment horizontal="left"/>
    </xf>
    <xf numFmtId="0" fontId="4" fillId="6" borderId="11" xfId="0" applyFont="1" applyFill="1" applyBorder="1" applyAlignment="1">
      <alignment horizontal="left"/>
    </xf>
    <xf numFmtId="0" fontId="4" fillId="6" borderId="6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9" fontId="6" fillId="0" borderId="6" xfId="0" applyNumberFormat="1" applyFont="1" applyBorder="1"/>
    <xf numFmtId="9" fontId="6" fillId="0" borderId="5" xfId="0" applyNumberFormat="1" applyFont="1" applyBorder="1"/>
    <xf numFmtId="0" fontId="6" fillId="8" borderId="6" xfId="0" applyFont="1" applyFill="1" applyBorder="1" applyAlignment="1">
      <alignment horizontal="center"/>
    </xf>
    <xf numFmtId="0" fontId="4" fillId="9" borderId="1" xfId="0" applyFont="1" applyFill="1" applyBorder="1"/>
    <xf numFmtId="0" fontId="0" fillId="0" borderId="0" xfId="0" applyAlignment="1">
      <alignment horizontal="left"/>
    </xf>
    <xf numFmtId="0" fontId="19" fillId="0" borderId="1" xfId="1"/>
    <xf numFmtId="0" fontId="19" fillId="10" borderId="1" xfId="1" applyFill="1" applyAlignment="1">
      <alignment horizontal="left"/>
    </xf>
    <xf numFmtId="0" fontId="23" fillId="0" borderId="1" xfId="2"/>
    <xf numFmtId="0" fontId="20" fillId="0" borderId="1" xfId="2" applyFont="1"/>
    <xf numFmtId="0" fontId="21" fillId="0" borderId="1" xfId="2" applyFont="1"/>
    <xf numFmtId="0" fontId="19" fillId="0" borderId="1" xfId="2" applyFont="1"/>
    <xf numFmtId="0" fontId="22" fillId="0" borderId="1" xfId="2" applyFont="1"/>
    <xf numFmtId="0" fontId="19" fillId="10" borderId="1" xfId="2" applyFont="1" applyFill="1"/>
    <xf numFmtId="0" fontId="19" fillId="10" borderId="1" xfId="2" applyFont="1" applyFill="1" applyAlignment="1">
      <alignment horizontal="left"/>
    </xf>
    <xf numFmtId="0" fontId="23" fillId="10" borderId="1" xfId="2" applyFill="1" applyAlignment="1">
      <alignment horizontal="left" vertical="center"/>
    </xf>
    <xf numFmtId="0" fontId="23" fillId="0" borderId="1" xfId="2" applyAlignment="1">
      <alignment horizontal="right"/>
    </xf>
    <xf numFmtId="0" fontId="20" fillId="0" borderId="16" xfId="2" applyFont="1" applyBorder="1"/>
    <xf numFmtId="0" fontId="19" fillId="0" borderId="17" xfId="2" applyFont="1" applyBorder="1"/>
    <xf numFmtId="0" fontId="20" fillId="0" borderId="18" xfId="2" applyFont="1" applyBorder="1"/>
    <xf numFmtId="0" fontId="23" fillId="0" borderId="19" xfId="2" applyBorder="1"/>
    <xf numFmtId="0" fontId="20" fillId="12" borderId="20" xfId="2" applyFont="1" applyFill="1" applyBorder="1"/>
    <xf numFmtId="0" fontId="20" fillId="12" borderId="21" xfId="2" applyFont="1" applyFill="1" applyBorder="1"/>
    <xf numFmtId="0" fontId="19" fillId="0" borderId="19" xfId="2" applyFont="1" applyBorder="1"/>
    <xf numFmtId="0" fontId="23" fillId="0" borderId="22" xfId="2" applyBorder="1"/>
    <xf numFmtId="0" fontId="19" fillId="0" borderId="16" xfId="2" applyFont="1" applyBorder="1"/>
    <xf numFmtId="0" fontId="19" fillId="0" borderId="23" xfId="2" applyFont="1" applyBorder="1"/>
    <xf numFmtId="0" fontId="19" fillId="0" borderId="24" xfId="2" applyFont="1" applyBorder="1"/>
    <xf numFmtId="0" fontId="23" fillId="0" borderId="17" xfId="2" applyBorder="1"/>
    <xf numFmtId="0" fontId="20" fillId="0" borderId="26" xfId="2" applyFont="1" applyBorder="1"/>
    <xf numFmtId="0" fontId="23" fillId="0" borderId="27" xfId="2" applyBorder="1"/>
    <xf numFmtId="49" fontId="20" fillId="0" borderId="18" xfId="2" applyNumberFormat="1" applyFont="1" applyBorder="1" applyAlignment="1">
      <alignment horizontal="left"/>
    </xf>
    <xf numFmtId="0" fontId="20" fillId="0" borderId="18" xfId="2" applyFont="1" applyBorder="1" applyAlignment="1">
      <alignment horizontal="left"/>
    </xf>
    <xf numFmtId="0" fontId="20" fillId="13" borderId="18" xfId="2" applyFont="1" applyFill="1" applyBorder="1" applyAlignment="1">
      <alignment horizontal="left"/>
    </xf>
    <xf numFmtId="0" fontId="23" fillId="0" borderId="28" xfId="2" applyBorder="1"/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9" xfId="0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1" xfId="0" applyBorder="1" applyAlignment="1">
      <alignment horizontal="center"/>
    </xf>
    <xf numFmtId="0" fontId="24" fillId="0" borderId="6" xfId="0" applyFont="1" applyBorder="1"/>
    <xf numFmtId="9" fontId="24" fillId="0" borderId="6" xfId="0" applyNumberFormat="1" applyFont="1" applyBorder="1"/>
    <xf numFmtId="0" fontId="0" fillId="0" borderId="30" xfId="0" applyBorder="1" applyAlignment="1">
      <alignment horizontal="center"/>
    </xf>
    <xf numFmtId="0" fontId="19" fillId="0" borderId="1" xfId="2" applyFont="1" applyAlignment="1">
      <alignment horizontal="center"/>
    </xf>
    <xf numFmtId="0" fontId="26" fillId="0" borderId="44" xfId="5" applyFont="1" applyBorder="1"/>
    <xf numFmtId="0" fontId="19" fillId="0" borderId="33" xfId="2" applyFont="1" applyBorder="1" applyAlignment="1">
      <alignment horizontal="center"/>
    </xf>
    <xf numFmtId="0" fontId="20" fillId="0" borderId="34" xfId="2" applyFont="1" applyBorder="1"/>
    <xf numFmtId="0" fontId="19" fillId="0" borderId="35" xfId="2" applyFont="1" applyBorder="1"/>
    <xf numFmtId="0" fontId="24" fillId="0" borderId="56" xfId="5" applyFont="1" applyBorder="1"/>
    <xf numFmtId="0" fontId="6" fillId="66" borderId="6" xfId="0" applyFont="1" applyFill="1" applyBorder="1"/>
    <xf numFmtId="0" fontId="7" fillId="10" borderId="29" xfId="0" applyFont="1" applyFill="1" applyBorder="1"/>
    <xf numFmtId="0" fontId="7" fillId="66" borderId="29" xfId="0" applyFont="1" applyFill="1" applyBorder="1"/>
    <xf numFmtId="0" fontId="7" fillId="68" borderId="29" xfId="0" applyFont="1" applyFill="1" applyBorder="1"/>
    <xf numFmtId="0" fontId="7" fillId="67" borderId="29" xfId="0" applyFont="1" applyFill="1" applyBorder="1"/>
    <xf numFmtId="0" fontId="18" fillId="69" borderId="9" xfId="0" applyFont="1" applyFill="1" applyBorder="1"/>
    <xf numFmtId="0" fontId="18" fillId="69" borderId="13" xfId="0" applyFont="1" applyFill="1" applyBorder="1"/>
    <xf numFmtId="0" fontId="18" fillId="69" borderId="10" xfId="0" applyFont="1" applyFill="1" applyBorder="1"/>
    <xf numFmtId="0" fontId="67" fillId="69" borderId="6" xfId="0" applyFont="1" applyFill="1" applyBorder="1" applyAlignment="1">
      <alignment horizontal="left"/>
    </xf>
    <xf numFmtId="0" fontId="24" fillId="0" borderId="0" xfId="0" applyFont="1" applyAlignment="1">
      <alignment horizontal="left"/>
    </xf>
    <xf numFmtId="0" fontId="24" fillId="8" borderId="6" xfId="0" applyFont="1" applyFill="1" applyBorder="1" applyAlignment="1">
      <alignment horizontal="center"/>
    </xf>
    <xf numFmtId="9" fontId="24" fillId="67" borderId="6" xfId="0" applyNumberFormat="1" applyFont="1" applyFill="1" applyBorder="1"/>
    <xf numFmtId="9" fontId="24" fillId="68" borderId="6" xfId="0" applyNumberFormat="1" applyFont="1" applyFill="1" applyBorder="1"/>
    <xf numFmtId="49" fontId="24" fillId="0" borderId="0" xfId="0" applyNumberFormat="1" applyFont="1" applyAlignment="1">
      <alignment horizontal="left"/>
    </xf>
    <xf numFmtId="49" fontId="24" fillId="0" borderId="0" xfId="0" applyNumberFormat="1" applyFont="1"/>
    <xf numFmtId="0" fontId="41" fillId="0" borderId="0" xfId="0" applyFont="1"/>
    <xf numFmtId="0" fontId="26" fillId="0" borderId="0" xfId="0" applyFont="1"/>
    <xf numFmtId="0" fontId="14" fillId="2" borderId="2" xfId="0" applyFont="1" applyFill="1" applyBorder="1" applyAlignment="1">
      <alignment horizontal="left" vertical="center"/>
    </xf>
    <xf numFmtId="9" fontId="6" fillId="71" borderId="6" xfId="0" applyNumberFormat="1" applyFont="1" applyFill="1" applyBorder="1"/>
    <xf numFmtId="0" fontId="1" fillId="0" borderId="0" xfId="0" applyFont="1"/>
    <xf numFmtId="0" fontId="0" fillId="0" borderId="0" xfId="0"/>
    <xf numFmtId="0" fontId="0" fillId="0" borderId="0" xfId="0"/>
    <xf numFmtId="0" fontId="20" fillId="11" borderId="1" xfId="2" applyFont="1" applyFill="1" applyAlignment="1">
      <alignment horizontal="center"/>
    </xf>
    <xf numFmtId="0" fontId="13" fillId="0" borderId="0" xfId="0" applyFont="1" applyAlignment="1">
      <alignment horizontal="center" vertical="center"/>
    </xf>
    <xf numFmtId="0" fontId="0" fillId="0" borderId="0" xfId="0"/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11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 wrapText="1"/>
    </xf>
    <xf numFmtId="0" fontId="18" fillId="5" borderId="3" xfId="0" applyFont="1" applyFill="1" applyBorder="1" applyAlignment="1">
      <alignment horizontal="left"/>
    </xf>
    <xf numFmtId="0" fontId="18" fillId="7" borderId="3" xfId="0" applyFont="1" applyFill="1" applyBorder="1" applyAlignment="1">
      <alignment horizontal="left"/>
    </xf>
    <xf numFmtId="0" fontId="5" fillId="0" borderId="13" xfId="0" applyFont="1" applyBorder="1"/>
    <xf numFmtId="0" fontId="6" fillId="0" borderId="3" xfId="0" applyFont="1" applyBorder="1" applyAlignment="1">
      <alignment horizontal="left"/>
    </xf>
    <xf numFmtId="0" fontId="20" fillId="70" borderId="9" xfId="0" applyFont="1" applyFill="1" applyBorder="1" applyAlignment="1">
      <alignment horizontal="left"/>
    </xf>
    <xf numFmtId="0" fontId="20" fillId="70" borderId="13" xfId="0" applyFont="1" applyFill="1" applyBorder="1" applyAlignment="1">
      <alignment horizontal="left"/>
    </xf>
    <xf numFmtId="0" fontId="24" fillId="0" borderId="3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1" xfId="0" applyBorder="1" applyAlignment="1">
      <alignment horizontal="center"/>
    </xf>
    <xf numFmtId="0" fontId="20" fillId="12" borderId="14" xfId="2" applyFont="1" applyFill="1" applyBorder="1" applyAlignment="1">
      <alignment horizontal="center"/>
    </xf>
    <xf numFmtId="0" fontId="20" fillId="12" borderId="15" xfId="2" applyFont="1" applyFill="1" applyBorder="1" applyAlignment="1">
      <alignment horizontal="center"/>
    </xf>
    <xf numFmtId="0" fontId="20" fillId="12" borderId="25" xfId="2" applyFont="1" applyFill="1" applyBorder="1" applyAlignment="1">
      <alignment horizontal="center"/>
    </xf>
  </cellXfs>
  <cellStyles count="124">
    <cellStyle name="20% - Accent1 2" xfId="6"/>
    <cellStyle name="20% - Accent1 3" xfId="7"/>
    <cellStyle name="20% - Accent1 3 2" xfId="102"/>
    <cellStyle name="20% - Accent2 2" xfId="8"/>
    <cellStyle name="20% - Accent2 3" xfId="9"/>
    <cellStyle name="20% - Accent2 3 2" xfId="103"/>
    <cellStyle name="20% - Accent3 2" xfId="10"/>
    <cellStyle name="20% - Accent3 3" xfId="11"/>
    <cellStyle name="20% - Accent3 3 2" xfId="104"/>
    <cellStyle name="20% - Accent4 2" xfId="12"/>
    <cellStyle name="20% - Accent4 3" xfId="13"/>
    <cellStyle name="20% - Accent4 3 2" xfId="105"/>
    <cellStyle name="20% - Accent5 2" xfId="14"/>
    <cellStyle name="20% - Accent5 3" xfId="15"/>
    <cellStyle name="20% - Accent5 3 2" xfId="106"/>
    <cellStyle name="20% - Accent6 2" xfId="16"/>
    <cellStyle name="20% - Accent6 3" xfId="17"/>
    <cellStyle name="20% - Accent6 3 2" xfId="107"/>
    <cellStyle name="40% - Accent1 2" xfId="18"/>
    <cellStyle name="40% - Accent1 3" xfId="19"/>
    <cellStyle name="40% - Accent1 3 2" xfId="108"/>
    <cellStyle name="40% - Accent2 2" xfId="20"/>
    <cellStyle name="40% - Accent2 3" xfId="21"/>
    <cellStyle name="40% - Accent2 3 2" xfId="109"/>
    <cellStyle name="40% - Accent3 2" xfId="22"/>
    <cellStyle name="40% - Accent3 3" xfId="23"/>
    <cellStyle name="40% - Accent3 3 2" xfId="111"/>
    <cellStyle name="40% - Accent4 2" xfId="24"/>
    <cellStyle name="40% - Accent4 3" xfId="25"/>
    <cellStyle name="40% - Accent4 3 2" xfId="112"/>
    <cellStyle name="40% - Accent5 2" xfId="26"/>
    <cellStyle name="40% - Accent5 3" xfId="27"/>
    <cellStyle name="40% - Accent5 3 2" xfId="113"/>
    <cellStyle name="40% - Accent6 2" xfId="28"/>
    <cellStyle name="40% - Accent6 3" xfId="29"/>
    <cellStyle name="40% - Accent6 3 2" xfId="114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Bad 2" xfId="54"/>
    <cellStyle name="Bad 2 2" xfId="55"/>
    <cellStyle name="Calculation 2" xfId="56"/>
    <cellStyle name="Calculation 2 2" xfId="116"/>
    <cellStyle name="Calculation 3" xfId="57"/>
    <cellStyle name="Check Cell 2" xfId="58"/>
    <cellStyle name="Check Cell 3" xfId="59"/>
    <cellStyle name="Explanatory Text 2" xfId="60"/>
    <cellStyle name="Explanatory Text 3" xfId="61"/>
    <cellStyle name="Good 2" xfId="62"/>
    <cellStyle name="Good 3" xfId="63"/>
    <cellStyle name="Good 4" xfId="64"/>
    <cellStyle name="grafset" xfId="65"/>
    <cellStyle name="Heading 1 2" xfId="66"/>
    <cellStyle name="Heading 1 3" xfId="67"/>
    <cellStyle name="Heading 2 2" xfId="68"/>
    <cellStyle name="Heading 2 3" xfId="69"/>
    <cellStyle name="Heading 3 2" xfId="70"/>
    <cellStyle name="Heading 3 2 2" xfId="115"/>
    <cellStyle name="Heading 3 3" xfId="71"/>
    <cellStyle name="Heading 4 2" xfId="72"/>
    <cellStyle name="Heading 4 3" xfId="73"/>
    <cellStyle name="Hyperlink 2" xfId="74"/>
    <cellStyle name="Input 2" xfId="75"/>
    <cellStyle name="Input 2 2" xfId="110"/>
    <cellStyle name="Input 3" xfId="76"/>
    <cellStyle name="Linked Cell 2" xfId="77"/>
    <cellStyle name="Linked Cell 3" xfId="78"/>
    <cellStyle name="Neutral 2" xfId="79"/>
    <cellStyle name="Neutral 3" xfId="80"/>
    <cellStyle name="Normal" xfId="0" builtinId="0"/>
    <cellStyle name="Normal 2" xfId="2"/>
    <cellStyle name="Normal 2 2" xfId="1"/>
    <cellStyle name="Normal 2 2 2" xfId="81"/>
    <cellStyle name="Normal 2 3" xfId="82"/>
    <cellStyle name="Normal 20" xfId="83"/>
    <cellStyle name="Normal 20 2" xfId="84"/>
    <cellStyle name="Normal 20 3" xfId="85"/>
    <cellStyle name="Normal 20 4" xfId="86"/>
    <cellStyle name="Normal 3" xfId="3"/>
    <cellStyle name="Normal 3 2" xfId="88"/>
    <cellStyle name="Normal 3 3" xfId="117"/>
    <cellStyle name="Normal 3 4" xfId="87"/>
    <cellStyle name="Normal 4" xfId="4"/>
    <cellStyle name="Normal 4 2" xfId="118"/>
    <cellStyle name="Normal 4 3" xfId="89"/>
    <cellStyle name="Normal 5" xfId="90"/>
    <cellStyle name="Normal 6" xfId="91"/>
    <cellStyle name="Normal 6 2" xfId="119"/>
    <cellStyle name="Normal 7" xfId="5"/>
    <cellStyle name="Note 2" xfId="92"/>
    <cellStyle name="Note 2 2" xfId="121"/>
    <cellStyle name="Note 3" xfId="93"/>
    <cellStyle name="Note 3 2" xfId="120"/>
    <cellStyle name="Output 2" xfId="94"/>
    <cellStyle name="Output 2 2" xfId="122"/>
    <cellStyle name="Output 3" xfId="95"/>
    <cellStyle name="Title 2" xfId="96"/>
    <cellStyle name="Title 2 2" xfId="97"/>
    <cellStyle name="Total 2" xfId="98"/>
    <cellStyle name="Total 2 2" xfId="123"/>
    <cellStyle name="Total 3" xfId="99"/>
    <cellStyle name="Warning Text 2" xfId="100"/>
    <cellStyle name="Warning Text 3" xfId="10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9296400" cy="904875"/>
    <xdr:sp macro="" textlink="">
      <xdr:nvSpPr>
        <xdr:cNvPr id="3" name="Shape 3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/>
      </xdr:nvSpPr>
      <xdr:spPr>
        <a:xfrm>
          <a:off x="697800" y="3327563"/>
          <a:ext cx="9296400" cy="904875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8439150" cy="2181225"/>
    <xdr:pic>
      <xdr:nvPicPr>
        <xdr:cNvPr id="2" name="image1.png" descr="untitled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</xdr:row>
      <xdr:rowOff>95250</xdr:rowOff>
    </xdr:from>
    <xdr:ext cx="9296400" cy="638175"/>
    <xdr:pic>
      <xdr:nvPicPr>
        <xdr:cNvPr id="4" name="image2.jpg" descr="header band_hi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581025</xdr:colOff>
      <xdr:row>34</xdr:row>
      <xdr:rowOff>161925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6353175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6</xdr:col>
      <xdr:colOff>581025</xdr:colOff>
      <xdr:row>14</xdr:row>
      <xdr:rowOff>161925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10188851" y="668033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2\03_Design\04%20AutoSoft\_Master%20Copies\FD%20Templates\Equipment%20List_Template_V1.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2\03_Design\02_Projects\16400\16429-ALPHA%20CASE%20PACKER%20&amp;%20PALLETIZER\1%20Robotic%20Case%20Packer-1_Line5\16429-03%20Electrical\04%20Equipment%20List\16429A_Equipment%20List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c1050\Desktop\15250\15250_Equipment%20List_V1.1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2_Projects\16600\16607%20-%20Strides%20USA%20-%20Cobot%20Case%20Packer%20&amp;%20Cobot%20Palletizer\16607-03%20Electrical\04%20Equipment%20List\16607_Equipment%20List%20V1.4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Sheet"/>
      <sheetName val="Title"/>
      <sheetName val="Assemblies"/>
      <sheetName val="EquipmentList"/>
      <sheetName val="NodeList"/>
      <sheetName val="XC0301"/>
      <sheetName val="XC0302"/>
      <sheetName val="XC0401"/>
      <sheetName val="XC0402"/>
      <sheetName val="Drive_IO"/>
      <sheetName val="Item Codes"/>
      <sheetName val="Alarms"/>
      <sheetName val="EventLog"/>
      <sheetName val="PackML"/>
    </sheetNames>
    <sheetDataSet>
      <sheetData sheetId="0"/>
      <sheetData sheetId="1"/>
      <sheetData sheetId="2"/>
      <sheetData sheetId="3">
        <row r="1">
          <cell r="A1" t="str">
            <v>12345</v>
          </cell>
          <cell r="E1" t="str">
            <v>Equipment List</v>
          </cell>
          <cell r="Q1" t="str">
            <v>Electrical</v>
          </cell>
        </row>
        <row r="2">
          <cell r="A2" t="str">
            <v>Blank</v>
          </cell>
          <cell r="Q2" t="str">
            <v>Cables</v>
          </cell>
          <cell r="T2" t="str">
            <v>PLC</v>
          </cell>
          <cell r="X2" t="str">
            <v>Robot</v>
          </cell>
          <cell r="Z2" t="str">
            <v>Festo</v>
          </cell>
          <cell r="AB2" t="str">
            <v>Drive</v>
          </cell>
          <cell r="AD2" t="str">
            <v>Safety</v>
          </cell>
        </row>
        <row r="3">
          <cell r="A3" t="str">
            <v>TAG</v>
          </cell>
          <cell r="B3" t="str">
            <v>AREA</v>
          </cell>
          <cell r="C3" t="str">
            <v>MACHINE</v>
          </cell>
          <cell r="D3" t="str">
            <v>CLASS</v>
          </cell>
          <cell r="E3" t="str">
            <v>SUB AREA</v>
          </cell>
          <cell r="F3" t="str">
            <v>ITEM</v>
          </cell>
          <cell r="G3" t="str">
            <v>SUFFIX</v>
          </cell>
          <cell r="H3" t="str">
            <v>Description</v>
          </cell>
          <cell r="J3" t="str">
            <v>PLC Style</v>
          </cell>
          <cell r="K3" t="str">
            <v>OMAC Alarm Reason</v>
          </cell>
          <cell r="L3" t="str">
            <v>OMAC Alarm Value</v>
          </cell>
          <cell r="M3" t="str">
            <v>OMAC Alarm ID</v>
          </cell>
          <cell r="N3" t="str">
            <v xml:space="preserve">Make </v>
          </cell>
          <cell r="O3" t="str">
            <v>Model</v>
          </cell>
          <cell r="P3" t="str">
            <v>PartNumber</v>
          </cell>
          <cell r="Q3" t="str">
            <v>Cable 1</v>
          </cell>
          <cell r="R3" t="str">
            <v>Cable 2</v>
          </cell>
          <cell r="S3" t="str">
            <v>Amps</v>
          </cell>
          <cell r="T3" t="str">
            <v>DO</v>
          </cell>
          <cell r="U3" t="str">
            <v>DI</v>
          </cell>
          <cell r="V3" t="str">
            <v>AO</v>
          </cell>
          <cell r="W3" t="str">
            <v>AI</v>
          </cell>
          <cell r="X3" t="str">
            <v>DO</v>
          </cell>
          <cell r="Y3" t="str">
            <v>DI</v>
          </cell>
          <cell r="Z3" t="str">
            <v>DO</v>
          </cell>
          <cell r="AA3" t="str">
            <v>DI</v>
          </cell>
          <cell r="AB3" t="str">
            <v>DO</v>
          </cell>
          <cell r="AC3" t="str">
            <v>DI</v>
          </cell>
          <cell r="AD3" t="str">
            <v>DO</v>
          </cell>
          <cell r="AE3" t="str">
            <v>DI</v>
          </cell>
        </row>
        <row r="4">
          <cell r="A4" t="str">
            <v>Electrical - General</v>
          </cell>
          <cell r="I4">
            <v>0</v>
          </cell>
          <cell r="L4">
            <v>0</v>
          </cell>
          <cell r="M4">
            <v>0</v>
          </cell>
        </row>
        <row r="5">
          <cell r="A5" t="str">
            <v>CP0301</v>
          </cell>
          <cell r="D5" t="str">
            <v>CP</v>
          </cell>
          <cell r="E5" t="str">
            <v>03</v>
          </cell>
          <cell r="F5" t="str">
            <v>01</v>
          </cell>
          <cell r="H5" t="str">
            <v xml:space="preserve">Main Control Cabinet   </v>
          </cell>
          <cell r="I5">
            <v>23</v>
          </cell>
          <cell r="L5">
            <v>0</v>
          </cell>
          <cell r="M5">
            <v>0</v>
          </cell>
          <cell r="N5" t="str">
            <v>Rittal</v>
          </cell>
        </row>
        <row r="6">
          <cell r="A6" t="str">
            <v>OP0301</v>
          </cell>
          <cell r="D6" t="str">
            <v>OP</v>
          </cell>
          <cell r="E6" t="str">
            <v>03</v>
          </cell>
          <cell r="F6" t="str">
            <v>01</v>
          </cell>
          <cell r="H6" t="str">
            <v xml:space="preserve">Packer HMI  </v>
          </cell>
          <cell r="I6">
            <v>12</v>
          </cell>
          <cell r="L6">
            <v>0</v>
          </cell>
          <cell r="M6">
            <v>0</v>
          </cell>
          <cell r="N6" t="str">
            <v>Allen Bradley</v>
          </cell>
          <cell r="O6" t="str">
            <v xml:space="preserve">Panel View Plus6 PV1000 Touch </v>
          </cell>
        </row>
        <row r="7">
          <cell r="A7" t="str">
            <v>XC0301</v>
          </cell>
          <cell r="D7" t="str">
            <v>XC</v>
          </cell>
          <cell r="E7" t="str">
            <v>03</v>
          </cell>
          <cell r="F7" t="str">
            <v>01</v>
          </cell>
          <cell r="H7" t="str">
            <v>PLC</v>
          </cell>
          <cell r="I7">
            <v>3</v>
          </cell>
          <cell r="L7">
            <v>0</v>
          </cell>
          <cell r="M7">
            <v>0</v>
          </cell>
          <cell r="N7" t="str">
            <v>Allen Bradley</v>
          </cell>
          <cell r="O7" t="str">
            <v>1756-L71</v>
          </cell>
        </row>
        <row r="8">
          <cell r="A8" t="str">
            <v>XC0302</v>
          </cell>
          <cell r="D8" t="str">
            <v>XC</v>
          </cell>
          <cell r="E8" t="str">
            <v>03</v>
          </cell>
          <cell r="F8" t="str">
            <v>02</v>
          </cell>
          <cell r="H8" t="str">
            <v>PLC Motion Ethernet Card</v>
          </cell>
          <cell r="I8">
            <v>24</v>
          </cell>
          <cell r="L8">
            <v>0</v>
          </cell>
          <cell r="M8">
            <v>0</v>
          </cell>
          <cell r="N8" t="str">
            <v>Allen Bradley</v>
          </cell>
          <cell r="O8" t="str">
            <v>1756-EN3TR</v>
          </cell>
        </row>
        <row r="9">
          <cell r="A9" t="str">
            <v>XC0303</v>
          </cell>
          <cell r="D9" t="str">
            <v>XC</v>
          </cell>
          <cell r="E9" t="str">
            <v>03</v>
          </cell>
          <cell r="F9" t="str">
            <v>03</v>
          </cell>
          <cell r="H9" t="str">
            <v>PLC Comms Ethernet Card</v>
          </cell>
          <cell r="I9">
            <v>23</v>
          </cell>
          <cell r="L9">
            <v>0</v>
          </cell>
          <cell r="M9">
            <v>0</v>
          </cell>
          <cell r="N9" t="str">
            <v>Allen Bradley</v>
          </cell>
          <cell r="O9" t="str">
            <v>1756-ENBT</v>
          </cell>
        </row>
        <row r="10">
          <cell r="A10" t="str">
            <v>XC0304</v>
          </cell>
          <cell r="D10" t="str">
            <v>XC</v>
          </cell>
          <cell r="E10" t="str">
            <v>03</v>
          </cell>
          <cell r="F10" t="str">
            <v>04</v>
          </cell>
          <cell r="H10" t="str">
            <v>Coder Comms Node</v>
          </cell>
          <cell r="I10">
            <v>16</v>
          </cell>
          <cell r="L10">
            <v>0</v>
          </cell>
          <cell r="M10">
            <v>0</v>
          </cell>
          <cell r="N10" t="str">
            <v>Moxa</v>
          </cell>
          <cell r="O10" t="str">
            <v>1734-AENT</v>
          </cell>
        </row>
        <row r="11">
          <cell r="A11" t="str">
            <v>XC0305</v>
          </cell>
          <cell r="D11" t="str">
            <v>XC</v>
          </cell>
          <cell r="E11" t="str">
            <v>03</v>
          </cell>
          <cell r="F11" t="str">
            <v>05</v>
          </cell>
          <cell r="H11" t="str">
            <v>Ethernet Switch</v>
          </cell>
          <cell r="I11">
            <v>15</v>
          </cell>
          <cell r="L11">
            <v>0</v>
          </cell>
          <cell r="M11">
            <v>0</v>
          </cell>
          <cell r="N11" t="str">
            <v>Allen Bradley</v>
          </cell>
          <cell r="O11" t="str">
            <v>EDS516A</v>
          </cell>
        </row>
        <row r="12">
          <cell r="A12" t="str">
            <v>DO0301</v>
          </cell>
          <cell r="D12" t="str">
            <v>DO</v>
          </cell>
          <cell r="E12" t="str">
            <v>03</v>
          </cell>
          <cell r="F12" t="str">
            <v>01</v>
          </cell>
          <cell r="H12" t="str">
            <v>Drives Fault Reset</v>
          </cell>
          <cell r="I12">
            <v>18</v>
          </cell>
          <cell r="J12" t="str">
            <v>MiscOutput</v>
          </cell>
          <cell r="L12" t="str">
            <v>0</v>
          </cell>
          <cell r="M12" t="str">
            <v>210301</v>
          </cell>
          <cell r="T12">
            <v>1</v>
          </cell>
        </row>
        <row r="13">
          <cell r="A13" t="str">
            <v>IL0301</v>
          </cell>
          <cell r="D13" t="str">
            <v>IL</v>
          </cell>
          <cell r="E13" t="str">
            <v>03</v>
          </cell>
          <cell r="F13" t="str">
            <v>01</v>
          </cell>
          <cell r="H13" t="str">
            <v>Run Indication (Green)</v>
          </cell>
          <cell r="I13">
            <v>22</v>
          </cell>
          <cell r="J13" t="str">
            <v>MiscOutput</v>
          </cell>
          <cell r="L13" t="str">
            <v>0</v>
          </cell>
          <cell r="M13" t="str">
            <v>220301</v>
          </cell>
          <cell r="N13" t="str">
            <v>Allen Bradley</v>
          </cell>
          <cell r="O13" t="str">
            <v>855T</v>
          </cell>
          <cell r="P13" t="str">
            <v>855TB24TL3</v>
          </cell>
          <cell r="T13">
            <v>1</v>
          </cell>
        </row>
        <row r="14">
          <cell r="A14" t="str">
            <v>IL0303</v>
          </cell>
          <cell r="D14" t="str">
            <v>IL</v>
          </cell>
          <cell r="E14" t="str">
            <v>03</v>
          </cell>
          <cell r="F14" t="str">
            <v>03</v>
          </cell>
          <cell r="H14" t="str">
            <v>Fault Indication (Red)</v>
          </cell>
          <cell r="I14">
            <v>22</v>
          </cell>
          <cell r="J14" t="str">
            <v>MiscOutput</v>
          </cell>
          <cell r="L14" t="str">
            <v>0</v>
          </cell>
          <cell r="M14" t="str">
            <v>220303</v>
          </cell>
          <cell r="N14" t="str">
            <v>Allen Bradley</v>
          </cell>
          <cell r="O14" t="str">
            <v>855T</v>
          </cell>
          <cell r="P14" t="str">
            <v>855TB24TL4</v>
          </cell>
          <cell r="T14">
            <v>1</v>
          </cell>
        </row>
        <row r="15">
          <cell r="A15" t="str">
            <v>IL0302</v>
          </cell>
          <cell r="D15" t="str">
            <v>IL</v>
          </cell>
          <cell r="E15" t="str">
            <v>03</v>
          </cell>
          <cell r="F15" t="str">
            <v>02</v>
          </cell>
          <cell r="H15" t="str">
            <v>Alert Indication (Amber)</v>
          </cell>
          <cell r="I15">
            <v>24</v>
          </cell>
          <cell r="J15" t="str">
            <v>MiscOutput</v>
          </cell>
          <cell r="L15" t="str">
            <v>0</v>
          </cell>
          <cell r="M15" t="str">
            <v>220302</v>
          </cell>
          <cell r="N15" t="str">
            <v>Allen Bradley</v>
          </cell>
          <cell r="O15" t="str">
            <v>855T</v>
          </cell>
          <cell r="P15" t="str">
            <v>855TB24TL5</v>
          </cell>
          <cell r="T15">
            <v>1</v>
          </cell>
        </row>
        <row r="16">
          <cell r="A16" t="str">
            <v>Electrical - Safety</v>
          </cell>
          <cell r="L16">
            <v>0</v>
          </cell>
          <cell r="M16">
            <v>0</v>
          </cell>
        </row>
        <row r="17">
          <cell r="A17" t="str">
            <v>XC0320</v>
          </cell>
          <cell r="D17" t="str">
            <v>XC</v>
          </cell>
          <cell r="E17" t="str">
            <v>03</v>
          </cell>
          <cell r="F17" t="str">
            <v>20</v>
          </cell>
          <cell r="H17" t="str">
            <v>Safety Controller</v>
          </cell>
          <cell r="I17">
            <v>17</v>
          </cell>
          <cell r="L17">
            <v>0</v>
          </cell>
          <cell r="M17">
            <v>0</v>
          </cell>
          <cell r="N17" t="str">
            <v>SICK</v>
          </cell>
          <cell r="O17" t="str">
            <v>FX3-CPU000000</v>
          </cell>
        </row>
        <row r="18">
          <cell r="A18" t="str">
            <v>DI0320</v>
          </cell>
          <cell r="D18" t="str">
            <v>DI</v>
          </cell>
          <cell r="E18" t="str">
            <v>03</v>
          </cell>
          <cell r="F18" t="str">
            <v>20</v>
          </cell>
          <cell r="H18" t="str">
            <v>Packer Safety Cell Enabled</v>
          </cell>
          <cell r="I18">
            <v>26</v>
          </cell>
          <cell r="J18" t="str">
            <v>MiscInput</v>
          </cell>
          <cell r="L18" t="str">
            <v>0</v>
          </cell>
          <cell r="M18" t="str">
            <v>200320</v>
          </cell>
        </row>
        <row r="19">
          <cell r="A19" t="str">
            <v>DI0321</v>
          </cell>
          <cell r="D19" t="str">
            <v>DI</v>
          </cell>
          <cell r="E19" t="str">
            <v>03</v>
          </cell>
          <cell r="F19" t="str">
            <v>21</v>
          </cell>
          <cell r="H19" t="str">
            <v>Safety Cell Enabled OFF Delay</v>
          </cell>
          <cell r="I19">
            <v>29</v>
          </cell>
          <cell r="J19" t="str">
            <v>MiscInput</v>
          </cell>
          <cell r="L19" t="str">
            <v>0</v>
          </cell>
          <cell r="M19" t="str">
            <v>200321</v>
          </cell>
          <cell r="AD19">
            <v>1</v>
          </cell>
        </row>
        <row r="20">
          <cell r="A20" t="str">
            <v>DO0320</v>
          </cell>
          <cell r="D20" t="str">
            <v>DO</v>
          </cell>
          <cell r="E20" t="str">
            <v>03</v>
          </cell>
          <cell r="F20" t="str">
            <v>20</v>
          </cell>
          <cell r="H20" t="str">
            <v>Safety Reset</v>
          </cell>
          <cell r="I20">
            <v>12</v>
          </cell>
          <cell r="J20" t="str">
            <v>MiscOutput</v>
          </cell>
          <cell r="L20" t="str">
            <v>0</v>
          </cell>
          <cell r="M20" t="str">
            <v>210320</v>
          </cell>
          <cell r="AE20">
            <v>1</v>
          </cell>
        </row>
        <row r="21">
          <cell r="A21" t="str">
            <v>GZ0320</v>
          </cell>
          <cell r="D21" t="str">
            <v>GZ</v>
          </cell>
          <cell r="E21" t="str">
            <v>03</v>
          </cell>
          <cell r="F21" t="str">
            <v>20</v>
          </cell>
          <cell r="H21" t="str">
            <v>Packer PLC Safety OK</v>
          </cell>
          <cell r="I21">
            <v>20</v>
          </cell>
          <cell r="J21" t="str">
            <v>MiscOutput</v>
          </cell>
          <cell r="L21" t="str">
            <v>0</v>
          </cell>
          <cell r="M21" t="str">
            <v>120320</v>
          </cell>
        </row>
        <row r="22">
          <cell r="A22" t="str">
            <v>K0320</v>
          </cell>
          <cell r="D22" t="str">
            <v>K</v>
          </cell>
          <cell r="E22" t="str">
            <v>03</v>
          </cell>
          <cell r="F22" t="str">
            <v>20</v>
          </cell>
          <cell r="H22" t="str">
            <v>Packer Safety Contactor 1</v>
          </cell>
          <cell r="I22">
            <v>25</v>
          </cell>
          <cell r="J22" t="str">
            <v>MiscInput</v>
          </cell>
          <cell r="L22" t="str">
            <v>0</v>
          </cell>
          <cell r="M22" t="str">
            <v>240320</v>
          </cell>
          <cell r="N22" t="str">
            <v>Allen Bradley</v>
          </cell>
          <cell r="P22" t="str">
            <v>100S-C09DJ23BC</v>
          </cell>
          <cell r="AD22">
            <v>1</v>
          </cell>
          <cell r="AE22">
            <v>1</v>
          </cell>
        </row>
        <row r="23">
          <cell r="A23" t="str">
            <v>K0321</v>
          </cell>
          <cell r="D23" t="str">
            <v>K</v>
          </cell>
          <cell r="E23" t="str">
            <v>03</v>
          </cell>
          <cell r="F23" t="str">
            <v>21</v>
          </cell>
          <cell r="H23" t="str">
            <v>Packer Safety Contactor 2</v>
          </cell>
          <cell r="I23">
            <v>25</v>
          </cell>
          <cell r="J23" t="str">
            <v>MiscInput</v>
          </cell>
          <cell r="L23" t="str">
            <v>0</v>
          </cell>
          <cell r="M23" t="str">
            <v>240321</v>
          </cell>
          <cell r="N23" t="str">
            <v>Allen Bradley</v>
          </cell>
          <cell r="P23" t="str">
            <v>100S-C09DJ23BC</v>
          </cell>
          <cell r="AD23">
            <v>1</v>
          </cell>
          <cell r="AE23">
            <v>1</v>
          </cell>
        </row>
        <row r="24">
          <cell r="A24" t="str">
            <v>K0322</v>
          </cell>
          <cell r="D24" t="str">
            <v>K</v>
          </cell>
          <cell r="E24" t="str">
            <v>03</v>
          </cell>
          <cell r="F24" t="str">
            <v>22</v>
          </cell>
          <cell r="H24" t="str">
            <v>Packer Servo Drives EN1</v>
          </cell>
          <cell r="I24">
            <v>23</v>
          </cell>
          <cell r="J24" t="str">
            <v>MiscInput</v>
          </cell>
          <cell r="L24" t="str">
            <v>0</v>
          </cell>
          <cell r="M24" t="str">
            <v>240322</v>
          </cell>
          <cell r="AD24">
            <v>1</v>
          </cell>
        </row>
        <row r="25">
          <cell r="A25" t="str">
            <v>K0323</v>
          </cell>
          <cell r="D25" t="str">
            <v>K</v>
          </cell>
          <cell r="E25" t="str">
            <v>03</v>
          </cell>
          <cell r="F25" t="str">
            <v>23</v>
          </cell>
          <cell r="H25" t="str">
            <v>Packer Servo Drives EN2</v>
          </cell>
          <cell r="I25">
            <v>23</v>
          </cell>
          <cell r="J25" t="str">
            <v>MiscInput</v>
          </cell>
          <cell r="L25" t="str">
            <v>0</v>
          </cell>
          <cell r="M25" t="str">
            <v>240323</v>
          </cell>
          <cell r="AD25">
            <v>1</v>
          </cell>
        </row>
        <row r="26">
          <cell r="A26" t="str">
            <v>Electrical - Site Interface</v>
          </cell>
          <cell r="L26">
            <v>0</v>
          </cell>
          <cell r="M26">
            <v>0</v>
          </cell>
        </row>
        <row r="27">
          <cell r="A27" t="str">
            <v>XC0350</v>
          </cell>
          <cell r="D27" t="str">
            <v>XC</v>
          </cell>
          <cell r="E27" t="str">
            <v>03</v>
          </cell>
          <cell r="F27" t="str">
            <v>50</v>
          </cell>
          <cell r="H27" t="str">
            <v>Wireless Gateway</v>
          </cell>
          <cell r="I27">
            <v>16</v>
          </cell>
          <cell r="L27">
            <v>0</v>
          </cell>
          <cell r="M27">
            <v>0</v>
          </cell>
          <cell r="N27" t="str">
            <v>NetComm</v>
          </cell>
          <cell r="O27" t="str">
            <v>NTC-6520</v>
          </cell>
        </row>
        <row r="28">
          <cell r="A28" t="str">
            <v>DI0350</v>
          </cell>
          <cell r="D28" t="str">
            <v>DI</v>
          </cell>
          <cell r="E28" t="str">
            <v>03</v>
          </cell>
          <cell r="F28" t="str">
            <v>50</v>
          </cell>
          <cell r="H28" t="str">
            <v>Down Stream Ready</v>
          </cell>
          <cell r="I28">
            <v>17</v>
          </cell>
          <cell r="J28" t="str">
            <v>MiscInput</v>
          </cell>
          <cell r="L28" t="str">
            <v>0</v>
          </cell>
          <cell r="M28" t="str">
            <v>200350</v>
          </cell>
        </row>
        <row r="29">
          <cell r="A29" t="str">
            <v>DO0350</v>
          </cell>
          <cell r="D29" t="str">
            <v>DO</v>
          </cell>
          <cell r="E29" t="str">
            <v>03</v>
          </cell>
          <cell r="F29" t="str">
            <v>50</v>
          </cell>
          <cell r="H29" t="str">
            <v>Upstream Run Signal</v>
          </cell>
          <cell r="I29">
            <v>19</v>
          </cell>
          <cell r="J29" t="str">
            <v>MiscOutput</v>
          </cell>
          <cell r="L29" t="str">
            <v>0</v>
          </cell>
          <cell r="M29" t="str">
            <v>210350</v>
          </cell>
        </row>
        <row r="30">
          <cell r="A30" t="str">
            <v>GZ0350</v>
          </cell>
          <cell r="D30" t="str">
            <v>GZ</v>
          </cell>
          <cell r="E30" t="str">
            <v>03</v>
          </cell>
          <cell r="F30" t="str">
            <v>50</v>
          </cell>
          <cell r="H30" t="str">
            <v>Site Safety OK</v>
          </cell>
          <cell r="I30">
            <v>14</v>
          </cell>
          <cell r="L30">
            <v>0</v>
          </cell>
          <cell r="M30">
            <v>0</v>
          </cell>
        </row>
        <row r="31">
          <cell r="A31" t="str">
            <v>K0350</v>
          </cell>
          <cell r="D31" t="str">
            <v>K</v>
          </cell>
          <cell r="E31" t="str">
            <v>03</v>
          </cell>
          <cell r="F31" t="str">
            <v>50</v>
          </cell>
          <cell r="H31" t="str">
            <v>Site Safety Enable</v>
          </cell>
          <cell r="I31">
            <v>18</v>
          </cell>
          <cell r="L31">
            <v>0</v>
          </cell>
          <cell r="M31">
            <v>0</v>
          </cell>
        </row>
        <row r="32">
          <cell r="A32" t="str">
            <v>Pneumatics</v>
          </cell>
          <cell r="I32">
            <v>0</v>
          </cell>
          <cell r="L32">
            <v>0</v>
          </cell>
          <cell r="M32">
            <v>0</v>
          </cell>
        </row>
        <row r="33">
          <cell r="A33" t="str">
            <v>XC0401</v>
          </cell>
          <cell r="D33" t="str">
            <v>XC</v>
          </cell>
          <cell r="E33" t="str">
            <v>04</v>
          </cell>
          <cell r="F33" t="str">
            <v>01</v>
          </cell>
          <cell r="H33" t="str">
            <v>Festo CPX Valve Bank 1</v>
          </cell>
          <cell r="I33">
            <v>22</v>
          </cell>
          <cell r="L33">
            <v>0</v>
          </cell>
          <cell r="M33">
            <v>0</v>
          </cell>
          <cell r="N33" t="str">
            <v>Festo</v>
          </cell>
          <cell r="O33" t="str">
            <v>CPX</v>
          </cell>
        </row>
        <row r="34">
          <cell r="A34" t="str">
            <v>XC0402</v>
          </cell>
          <cell r="D34" t="str">
            <v>XC</v>
          </cell>
          <cell r="E34" t="str">
            <v>04</v>
          </cell>
          <cell r="F34" t="str">
            <v>02</v>
          </cell>
          <cell r="H34" t="str">
            <v>Festo CPX Valve Bank 2</v>
          </cell>
          <cell r="I34">
            <v>22</v>
          </cell>
          <cell r="L34">
            <v>0</v>
          </cell>
          <cell r="M34">
            <v>0</v>
          </cell>
          <cell r="N34" t="str">
            <v>Festo</v>
          </cell>
          <cell r="O34" t="str">
            <v>CPX</v>
          </cell>
        </row>
        <row r="35">
          <cell r="A35" t="str">
            <v>SV0401</v>
          </cell>
          <cell r="D35" t="str">
            <v>SV</v>
          </cell>
          <cell r="E35" t="str">
            <v>04</v>
          </cell>
          <cell r="F35" t="str">
            <v>01</v>
          </cell>
          <cell r="H35" t="str">
            <v>Pneumatic Quick Exhaust Valve</v>
          </cell>
          <cell r="I35">
            <v>29</v>
          </cell>
          <cell r="J35" t="str">
            <v>Festo_MS6SV</v>
          </cell>
          <cell r="L35" t="str">
            <v>0</v>
          </cell>
          <cell r="M35" t="str">
            <v>140401</v>
          </cell>
          <cell r="N35" t="str">
            <v>Festo</v>
          </cell>
          <cell r="O35" t="str">
            <v>MS6 SV</v>
          </cell>
          <cell r="AD35">
            <v>2</v>
          </cell>
          <cell r="AE35">
            <v>1</v>
          </cell>
        </row>
        <row r="36">
          <cell r="A36" t="str">
            <v>K0401</v>
          </cell>
          <cell r="D36" t="str">
            <v>K</v>
          </cell>
          <cell r="E36" t="str">
            <v>04</v>
          </cell>
          <cell r="F36" t="str">
            <v>01</v>
          </cell>
          <cell r="H36" t="str">
            <v>Pneumatic Quick Exhaust Power</v>
          </cell>
          <cell r="I36">
            <v>29</v>
          </cell>
          <cell r="L36">
            <v>0</v>
          </cell>
          <cell r="M36">
            <v>0</v>
          </cell>
          <cell r="T36">
            <v>1</v>
          </cell>
        </row>
        <row r="37">
          <cell r="A37" t="str">
            <v>Enclosures</v>
          </cell>
          <cell r="I37">
            <v>0</v>
          </cell>
          <cell r="L37">
            <v>0</v>
          </cell>
          <cell r="M37">
            <v>0</v>
          </cell>
        </row>
        <row r="38">
          <cell r="A38" t="str">
            <v>CP1001</v>
          </cell>
          <cell r="D38" t="str">
            <v>CP</v>
          </cell>
          <cell r="E38" t="str">
            <v>10</v>
          </cell>
          <cell r="F38" t="str">
            <v>01</v>
          </cell>
          <cell r="H38" t="str">
            <v xml:space="preserve">Operator Control Panel  </v>
          </cell>
          <cell r="I38">
            <v>24</v>
          </cell>
          <cell r="L38">
            <v>0</v>
          </cell>
          <cell r="M38">
            <v>0</v>
          </cell>
          <cell r="N38" t="str">
            <v>Rittal</v>
          </cell>
        </row>
        <row r="39">
          <cell r="A39" t="str">
            <v>ES1001</v>
          </cell>
          <cell r="D39" t="str">
            <v>ES</v>
          </cell>
          <cell r="E39" t="str">
            <v>10</v>
          </cell>
          <cell r="F39" t="str">
            <v>01</v>
          </cell>
          <cell r="H39" t="str">
            <v>Operator Control Panel E-Stop</v>
          </cell>
          <cell r="I39">
            <v>29</v>
          </cell>
          <cell r="J39" t="str">
            <v>MiscInput</v>
          </cell>
          <cell r="L39" t="str">
            <v>0</v>
          </cell>
          <cell r="M39" t="str">
            <v>111001</v>
          </cell>
          <cell r="N39" t="str">
            <v>SICK</v>
          </cell>
          <cell r="O39" t="str">
            <v>ES21-SB10G1</v>
          </cell>
          <cell r="P39">
            <v>6036492</v>
          </cell>
          <cell r="AE39">
            <v>2</v>
          </cell>
        </row>
        <row r="40">
          <cell r="A40" t="str">
            <v>Chassis</v>
          </cell>
          <cell r="I40">
            <v>0</v>
          </cell>
          <cell r="L40">
            <v>0</v>
          </cell>
          <cell r="M40">
            <v>0</v>
          </cell>
        </row>
        <row r="41">
          <cell r="A41" t="str">
            <v>ES1201</v>
          </cell>
          <cell r="D41" t="str">
            <v>ES</v>
          </cell>
          <cell r="E41" t="str">
            <v>12</v>
          </cell>
          <cell r="F41" t="str">
            <v>01</v>
          </cell>
          <cell r="H41" t="str">
            <v>E-Stop 1 Reserved</v>
          </cell>
          <cell r="I41">
            <v>17</v>
          </cell>
          <cell r="J41" t="str">
            <v>MiscInput</v>
          </cell>
          <cell r="L41" t="str">
            <v>0</v>
          </cell>
          <cell r="M41" t="str">
            <v>111201</v>
          </cell>
          <cell r="N41" t="str">
            <v>SICK</v>
          </cell>
          <cell r="O41" t="str">
            <v>ES21-SB10G1</v>
          </cell>
          <cell r="P41">
            <v>6036492</v>
          </cell>
          <cell r="AE41">
            <v>2</v>
          </cell>
        </row>
        <row r="42">
          <cell r="A42" t="str">
            <v>ES1202</v>
          </cell>
          <cell r="D42" t="str">
            <v>ES</v>
          </cell>
          <cell r="E42" t="str">
            <v>12</v>
          </cell>
          <cell r="F42" t="str">
            <v>02</v>
          </cell>
          <cell r="H42" t="str">
            <v>E-Stop 2 Reserved</v>
          </cell>
          <cell r="I42">
            <v>17</v>
          </cell>
          <cell r="J42" t="str">
            <v>MiscInput</v>
          </cell>
          <cell r="L42" t="str">
            <v>0</v>
          </cell>
          <cell r="M42" t="str">
            <v>111202</v>
          </cell>
          <cell r="N42" t="str">
            <v>SICK</v>
          </cell>
          <cell r="O42" t="str">
            <v>ES21-SB10G1</v>
          </cell>
          <cell r="P42">
            <v>6036492</v>
          </cell>
          <cell r="AE42">
            <v>2</v>
          </cell>
        </row>
        <row r="43">
          <cell r="A43" t="str">
            <v>Glue</v>
          </cell>
          <cell r="I43">
            <v>0</v>
          </cell>
          <cell r="L43">
            <v>0</v>
          </cell>
          <cell r="M43">
            <v>0</v>
          </cell>
        </row>
        <row r="44">
          <cell r="A44" t="str">
            <v>GU1101</v>
          </cell>
          <cell r="D44" t="str">
            <v>GU</v>
          </cell>
          <cell r="E44" t="str">
            <v>11</v>
          </cell>
          <cell r="F44" t="str">
            <v>01</v>
          </cell>
          <cell r="H44" t="str">
            <v>Glue Machine</v>
          </cell>
          <cell r="I44">
            <v>12</v>
          </cell>
          <cell r="L44">
            <v>0</v>
          </cell>
          <cell r="M44">
            <v>0</v>
          </cell>
          <cell r="N44" t="str">
            <v>Nordson</v>
          </cell>
        </row>
        <row r="45">
          <cell r="A45" t="str">
            <v>DI1101</v>
          </cell>
          <cell r="D45" t="str">
            <v>DI</v>
          </cell>
          <cell r="E45" t="str">
            <v>11</v>
          </cell>
          <cell r="F45" t="str">
            <v>01</v>
          </cell>
          <cell r="H45" t="str">
            <v>Glue Machine Ready</v>
          </cell>
          <cell r="I45">
            <v>18</v>
          </cell>
          <cell r="J45" t="str">
            <v>MiscInput</v>
          </cell>
          <cell r="L45" t="str">
            <v>0</v>
          </cell>
          <cell r="M45" t="str">
            <v>201101</v>
          </cell>
          <cell r="N45" t="str">
            <v>Nordson</v>
          </cell>
          <cell r="U45">
            <v>1</v>
          </cell>
        </row>
        <row r="46">
          <cell r="A46" t="str">
            <v>DI1102</v>
          </cell>
          <cell r="D46" t="str">
            <v>DI</v>
          </cell>
          <cell r="E46" t="str">
            <v>11</v>
          </cell>
          <cell r="F46" t="str">
            <v>02</v>
          </cell>
          <cell r="H46" t="str">
            <v>Glue Machine Tank Low Level</v>
          </cell>
          <cell r="I46">
            <v>27</v>
          </cell>
          <cell r="J46" t="str">
            <v>MiscInput</v>
          </cell>
          <cell r="L46" t="str">
            <v>0</v>
          </cell>
          <cell r="M46" t="str">
            <v>201102</v>
          </cell>
          <cell r="N46" t="str">
            <v>Nordson</v>
          </cell>
          <cell r="U46">
            <v>1</v>
          </cell>
        </row>
        <row r="47">
          <cell r="A47" t="str">
            <v>SV1101</v>
          </cell>
          <cell r="D47" t="str">
            <v>SV</v>
          </cell>
          <cell r="E47" t="str">
            <v>11</v>
          </cell>
          <cell r="F47" t="str">
            <v>01</v>
          </cell>
          <cell r="H47" t="str">
            <v>Glue Gun 1</v>
          </cell>
          <cell r="I47">
            <v>10</v>
          </cell>
          <cell r="J47" t="str">
            <v>MiscOutput</v>
          </cell>
          <cell r="L47" t="str">
            <v>0</v>
          </cell>
          <cell r="M47" t="str">
            <v>141101</v>
          </cell>
          <cell r="N47" t="str">
            <v>Nordson</v>
          </cell>
          <cell r="T47">
            <v>1</v>
          </cell>
        </row>
        <row r="48">
          <cell r="A48" t="str">
            <v>SV1102</v>
          </cell>
          <cell r="D48" t="str">
            <v>SV</v>
          </cell>
          <cell r="E48" t="str">
            <v>11</v>
          </cell>
          <cell r="F48" t="str">
            <v>02</v>
          </cell>
          <cell r="H48" t="str">
            <v>Glue Gun 2</v>
          </cell>
          <cell r="I48">
            <v>10</v>
          </cell>
          <cell r="J48" t="str">
            <v>MiscOutput</v>
          </cell>
          <cell r="L48" t="str">
            <v>0</v>
          </cell>
          <cell r="M48" t="str">
            <v>141102</v>
          </cell>
          <cell r="N48" t="str">
            <v>Nordson</v>
          </cell>
          <cell r="T48">
            <v>1</v>
          </cell>
        </row>
        <row r="49">
          <cell r="A49" t="str">
            <v>PE1101</v>
          </cell>
          <cell r="D49" t="str">
            <v>PE</v>
          </cell>
          <cell r="E49" t="str">
            <v>11</v>
          </cell>
          <cell r="F49" t="str">
            <v>01</v>
          </cell>
          <cell r="H49" t="str">
            <v>Glue Gun 1 Product Sensor</v>
          </cell>
          <cell r="I49">
            <v>25</v>
          </cell>
          <cell r="J49" t="str">
            <v>MiscInput</v>
          </cell>
          <cell r="L49" t="str">
            <v>0</v>
          </cell>
          <cell r="M49" t="str">
            <v>151101</v>
          </cell>
          <cell r="N49" t="str">
            <v>SICK</v>
          </cell>
          <cell r="O49" t="str">
            <v>WTB4S-3P2161</v>
          </cell>
          <cell r="P49">
            <v>1042040</v>
          </cell>
          <cell r="Q49" t="str">
            <v>MU02038</v>
          </cell>
          <cell r="AA49">
            <v>1</v>
          </cell>
        </row>
        <row r="50">
          <cell r="A50" t="str">
            <v>PE1102</v>
          </cell>
          <cell r="D50" t="str">
            <v>PE</v>
          </cell>
          <cell r="E50" t="str">
            <v>11</v>
          </cell>
          <cell r="F50" t="str">
            <v>02</v>
          </cell>
          <cell r="H50" t="str">
            <v>Glue Gun 2 Product Sensor</v>
          </cell>
          <cell r="I50">
            <v>25</v>
          </cell>
          <cell r="J50" t="str">
            <v>MiscInput</v>
          </cell>
          <cell r="L50" t="str">
            <v>0</v>
          </cell>
          <cell r="M50" t="str">
            <v>151102</v>
          </cell>
          <cell r="N50" t="str">
            <v>SICK</v>
          </cell>
          <cell r="O50" t="str">
            <v>WTB4S-3P2161</v>
          </cell>
          <cell r="P50">
            <v>1042040</v>
          </cell>
          <cell r="Q50" t="str">
            <v>MU02038</v>
          </cell>
          <cell r="AA50">
            <v>1</v>
          </cell>
        </row>
        <row r="51">
          <cell r="A51" t="str">
            <v>Guards</v>
          </cell>
          <cell r="I51">
            <v>0</v>
          </cell>
          <cell r="L51">
            <v>0</v>
          </cell>
          <cell r="M51">
            <v>0</v>
          </cell>
        </row>
        <row r="52">
          <cell r="A52" t="str">
            <v>GZ1301</v>
          </cell>
          <cell r="D52" t="str">
            <v>GZ</v>
          </cell>
          <cell r="E52" t="str">
            <v>13</v>
          </cell>
          <cell r="F52" t="str">
            <v>01</v>
          </cell>
          <cell r="H52" t="str">
            <v>Guard Door - 1</v>
          </cell>
          <cell r="I52">
            <v>14</v>
          </cell>
          <cell r="J52" t="str">
            <v>MiscInput</v>
          </cell>
          <cell r="K52" t="str">
            <v>Safety Gate/Guard Door Open</v>
          </cell>
          <cell r="L52" t="str">
            <v>4</v>
          </cell>
          <cell r="M52" t="str">
            <v>121301</v>
          </cell>
          <cell r="N52" t="str">
            <v>SICK</v>
          </cell>
          <cell r="O52" t="str">
            <v>RE13-DAC</v>
          </cell>
          <cell r="P52" t="str">
            <v xml:space="preserve">6036769 </v>
          </cell>
          <cell r="AE52">
            <v>2</v>
          </cell>
        </row>
        <row r="53">
          <cell r="A53" t="str">
            <v>GZ1302</v>
          </cell>
          <cell r="D53" t="str">
            <v>GZ</v>
          </cell>
          <cell r="E53" t="str">
            <v>13</v>
          </cell>
          <cell r="F53" t="str">
            <v>02</v>
          </cell>
          <cell r="H53" t="str">
            <v>Guard Door - 2</v>
          </cell>
          <cell r="I53">
            <v>14</v>
          </cell>
          <cell r="J53" t="str">
            <v>MiscInput</v>
          </cell>
          <cell r="K53" t="str">
            <v>Safety Gate/Guard Door Open</v>
          </cell>
          <cell r="L53" t="str">
            <v>4</v>
          </cell>
          <cell r="M53" t="str">
            <v>121302</v>
          </cell>
          <cell r="N53" t="str">
            <v>SICK</v>
          </cell>
          <cell r="O53" t="str">
            <v>RE13-DAC</v>
          </cell>
          <cell r="P53" t="str">
            <v xml:space="preserve">6036769 </v>
          </cell>
          <cell r="AE53">
            <v>2</v>
          </cell>
        </row>
        <row r="54">
          <cell r="A54" t="str">
            <v>GZ1303</v>
          </cell>
          <cell r="D54" t="str">
            <v>GZ</v>
          </cell>
          <cell r="E54" t="str">
            <v>13</v>
          </cell>
          <cell r="F54" t="str">
            <v>03</v>
          </cell>
          <cell r="H54" t="str">
            <v>Guard Door - 3</v>
          </cell>
          <cell r="I54">
            <v>14</v>
          </cell>
          <cell r="J54" t="str">
            <v>MiscInput</v>
          </cell>
          <cell r="K54" t="str">
            <v>Safety Gate/Guard Door Open</v>
          </cell>
          <cell r="L54" t="str">
            <v>4</v>
          </cell>
          <cell r="M54" t="str">
            <v>121303</v>
          </cell>
          <cell r="N54" t="str">
            <v>SICK</v>
          </cell>
          <cell r="O54" t="str">
            <v>RE13-DAC</v>
          </cell>
          <cell r="P54" t="str">
            <v xml:space="preserve">6036769 </v>
          </cell>
          <cell r="AE54">
            <v>2</v>
          </cell>
        </row>
        <row r="55">
          <cell r="A55" t="str">
            <v>GZ1304</v>
          </cell>
          <cell r="D55" t="str">
            <v>GZ</v>
          </cell>
          <cell r="E55" t="str">
            <v>13</v>
          </cell>
          <cell r="F55" t="str">
            <v>04</v>
          </cell>
          <cell r="H55" t="str">
            <v>Guard Door - 4</v>
          </cell>
          <cell r="I55">
            <v>14</v>
          </cell>
          <cell r="J55" t="str">
            <v>MiscInput</v>
          </cell>
          <cell r="K55" t="str">
            <v>Safety Gate/Guard Door Open</v>
          </cell>
          <cell r="L55" t="str">
            <v>4</v>
          </cell>
          <cell r="M55" t="str">
            <v>121304</v>
          </cell>
          <cell r="N55" t="str">
            <v>SICK</v>
          </cell>
          <cell r="O55" t="str">
            <v>RE13-DAC</v>
          </cell>
          <cell r="P55" t="str">
            <v xml:space="preserve">6036769 </v>
          </cell>
          <cell r="AE55">
            <v>2</v>
          </cell>
        </row>
        <row r="56">
          <cell r="A56" t="str">
            <v>GZ1305</v>
          </cell>
          <cell r="D56" t="str">
            <v>GZ</v>
          </cell>
          <cell r="E56" t="str">
            <v>13</v>
          </cell>
          <cell r="F56" t="str">
            <v>05</v>
          </cell>
          <cell r="H56" t="str">
            <v>Guard Door - 5</v>
          </cell>
          <cell r="I56">
            <v>14</v>
          </cell>
          <cell r="J56" t="str">
            <v>MiscInput</v>
          </cell>
          <cell r="K56" t="str">
            <v>Safety Gate/Guard Door Open</v>
          </cell>
          <cell r="L56" t="str">
            <v>4</v>
          </cell>
          <cell r="M56" t="str">
            <v>121305</v>
          </cell>
          <cell r="N56" t="str">
            <v>SICK</v>
          </cell>
          <cell r="O56" t="str">
            <v>RE13-DAC</v>
          </cell>
          <cell r="P56" t="str">
            <v xml:space="preserve">6036769 </v>
          </cell>
          <cell r="AE56">
            <v>2</v>
          </cell>
        </row>
        <row r="57">
          <cell r="A57" t="str">
            <v>GZ1306</v>
          </cell>
          <cell r="D57" t="str">
            <v>GZ</v>
          </cell>
          <cell r="E57" t="str">
            <v>13</v>
          </cell>
          <cell r="F57" t="str">
            <v>06</v>
          </cell>
          <cell r="H57" t="str">
            <v>Guard Door - 6</v>
          </cell>
          <cell r="I57">
            <v>14</v>
          </cell>
          <cell r="J57" t="str">
            <v>MiscInput</v>
          </cell>
          <cell r="K57" t="str">
            <v>Safety Gate/Guard Door Open</v>
          </cell>
          <cell r="L57" t="str">
            <v>4</v>
          </cell>
          <cell r="M57" t="str">
            <v>121306</v>
          </cell>
          <cell r="N57" t="str">
            <v>SICK</v>
          </cell>
          <cell r="O57" t="str">
            <v>RE13-DAC</v>
          </cell>
          <cell r="P57" t="str">
            <v xml:space="preserve">6036769 </v>
          </cell>
          <cell r="AE57">
            <v>2</v>
          </cell>
        </row>
        <row r="58">
          <cell r="A58" t="str">
            <v>GZ1307</v>
          </cell>
          <cell r="D58" t="str">
            <v>GZ</v>
          </cell>
          <cell r="E58" t="str">
            <v>13</v>
          </cell>
          <cell r="F58" t="str">
            <v>07</v>
          </cell>
          <cell r="H58" t="str">
            <v>Guard Door - 7</v>
          </cell>
          <cell r="I58">
            <v>14</v>
          </cell>
          <cell r="J58" t="str">
            <v>MiscInput</v>
          </cell>
          <cell r="K58" t="str">
            <v>Safety Gate/Guard Door Open</v>
          </cell>
          <cell r="L58" t="str">
            <v>4</v>
          </cell>
          <cell r="M58" t="str">
            <v>121307</v>
          </cell>
          <cell r="N58" t="str">
            <v>SICK</v>
          </cell>
          <cell r="O58" t="str">
            <v>RE13-DAC</v>
          </cell>
          <cell r="P58" t="str">
            <v xml:space="preserve">6036769 </v>
          </cell>
          <cell r="AE58">
            <v>2</v>
          </cell>
        </row>
        <row r="59">
          <cell r="A59" t="str">
            <v>GZ1308</v>
          </cell>
          <cell r="D59" t="str">
            <v>GZ</v>
          </cell>
          <cell r="E59" t="str">
            <v>13</v>
          </cell>
          <cell r="F59" t="str">
            <v>08</v>
          </cell>
          <cell r="H59" t="str">
            <v>Guard Door - 8</v>
          </cell>
          <cell r="I59">
            <v>14</v>
          </cell>
          <cell r="J59" t="str">
            <v>MiscInput</v>
          </cell>
          <cell r="K59" t="str">
            <v>Safety Gate/Guard Door Open</v>
          </cell>
          <cell r="L59" t="str">
            <v>4</v>
          </cell>
          <cell r="M59" t="str">
            <v>121308</v>
          </cell>
          <cell r="N59" t="str">
            <v>SICK</v>
          </cell>
          <cell r="O59" t="str">
            <v>RE13-DAC</v>
          </cell>
          <cell r="P59" t="str">
            <v xml:space="preserve">6036769 </v>
          </cell>
          <cell r="AE59">
            <v>2</v>
          </cell>
        </row>
        <row r="60">
          <cell r="A60" t="str">
            <v>GZ1309</v>
          </cell>
          <cell r="D60" t="str">
            <v>GZ</v>
          </cell>
          <cell r="E60" t="str">
            <v>13</v>
          </cell>
          <cell r="F60" t="str">
            <v>09</v>
          </cell>
          <cell r="H60" t="str">
            <v>Guard Door - 9</v>
          </cell>
          <cell r="I60">
            <v>14</v>
          </cell>
          <cell r="J60" t="str">
            <v>MiscInput</v>
          </cell>
          <cell r="K60" t="str">
            <v>Safety Gate/Guard Door Open</v>
          </cell>
          <cell r="L60" t="str">
            <v>4</v>
          </cell>
          <cell r="M60" t="str">
            <v>121309</v>
          </cell>
          <cell r="N60" t="str">
            <v>SICK</v>
          </cell>
          <cell r="O60" t="str">
            <v>RE13-DAC</v>
          </cell>
          <cell r="P60" t="str">
            <v xml:space="preserve">6036769 </v>
          </cell>
          <cell r="AE60">
            <v>2</v>
          </cell>
        </row>
        <row r="61">
          <cell r="A61" t="str">
            <v>GZ1310</v>
          </cell>
          <cell r="D61" t="str">
            <v>GZ</v>
          </cell>
          <cell r="E61" t="str">
            <v>13</v>
          </cell>
          <cell r="F61" t="str">
            <v>10</v>
          </cell>
          <cell r="H61" t="str">
            <v>Guard Door - 10</v>
          </cell>
          <cell r="I61">
            <v>15</v>
          </cell>
          <cell r="J61" t="str">
            <v>MiscInput</v>
          </cell>
          <cell r="K61" t="str">
            <v>Safety Gate/Guard Door Open</v>
          </cell>
          <cell r="L61" t="str">
            <v>4</v>
          </cell>
          <cell r="M61" t="str">
            <v>121310</v>
          </cell>
          <cell r="N61" t="str">
            <v>SICK</v>
          </cell>
          <cell r="O61" t="str">
            <v>RE13-DAC</v>
          </cell>
          <cell r="P61" t="str">
            <v xml:space="preserve">6036769 </v>
          </cell>
          <cell r="AE61">
            <v>2</v>
          </cell>
        </row>
        <row r="62">
          <cell r="A62" t="str">
            <v>GZ1311</v>
          </cell>
          <cell r="D62" t="str">
            <v>GZ</v>
          </cell>
          <cell r="E62" t="str">
            <v>13</v>
          </cell>
          <cell r="F62" t="str">
            <v>11</v>
          </cell>
          <cell r="H62" t="str">
            <v>Guard Door - 11</v>
          </cell>
          <cell r="I62">
            <v>15</v>
          </cell>
          <cell r="J62" t="str">
            <v>MiscInput</v>
          </cell>
          <cell r="K62" t="str">
            <v>Safety Gate/Guard Door Open</v>
          </cell>
          <cell r="L62" t="str">
            <v>4</v>
          </cell>
          <cell r="M62" t="str">
            <v>121311</v>
          </cell>
          <cell r="N62" t="str">
            <v>SICK</v>
          </cell>
          <cell r="O62" t="str">
            <v>RE13-DAC</v>
          </cell>
          <cell r="P62" t="str">
            <v xml:space="preserve">6036769 </v>
          </cell>
          <cell r="AE62">
            <v>2</v>
          </cell>
        </row>
        <row r="63">
          <cell r="A63" t="str">
            <v>K1301</v>
          </cell>
          <cell r="D63" t="str">
            <v>K</v>
          </cell>
          <cell r="E63" t="str">
            <v>13</v>
          </cell>
          <cell r="F63" t="str">
            <v>01</v>
          </cell>
          <cell r="H63" t="str">
            <v>Guard Door Lock Circuit</v>
          </cell>
          <cell r="I63">
            <v>23</v>
          </cell>
          <cell r="J63" t="str">
            <v>MiscOutput</v>
          </cell>
          <cell r="L63" t="str">
            <v>0</v>
          </cell>
          <cell r="M63" t="str">
            <v>241301</v>
          </cell>
          <cell r="T63">
            <v>1</v>
          </cell>
          <cell r="U63">
            <v>1</v>
          </cell>
        </row>
        <row r="64">
          <cell r="A64" t="str">
            <v>RSC Magazines</v>
          </cell>
          <cell r="I64">
            <v>0</v>
          </cell>
          <cell r="L64">
            <v>0</v>
          </cell>
          <cell r="M64">
            <v>0</v>
          </cell>
        </row>
        <row r="65">
          <cell r="A65" t="str">
            <v>PE1411</v>
          </cell>
          <cell r="D65" t="str">
            <v>PE</v>
          </cell>
          <cell r="E65" t="str">
            <v>14</v>
          </cell>
          <cell r="F65" t="str">
            <v>11</v>
          </cell>
          <cell r="H65" t="str">
            <v>RSC Mag. 1 Low Level Eye</v>
          </cell>
          <cell r="I65">
            <v>24</v>
          </cell>
          <cell r="J65" t="str">
            <v>MiscInput</v>
          </cell>
          <cell r="L65" t="str">
            <v>0</v>
          </cell>
          <cell r="M65" t="str">
            <v>151411</v>
          </cell>
          <cell r="N65" t="str">
            <v>SICK</v>
          </cell>
          <cell r="O65" t="str">
            <v>WTB4S-3P2161</v>
          </cell>
          <cell r="P65">
            <v>1042040</v>
          </cell>
          <cell r="Q65" t="str">
            <v>MU02038</v>
          </cell>
          <cell r="AE65">
            <v>1</v>
          </cell>
        </row>
        <row r="66">
          <cell r="A66" t="str">
            <v>PE1412</v>
          </cell>
          <cell r="D66" t="str">
            <v>PE</v>
          </cell>
          <cell r="E66" t="str">
            <v>14</v>
          </cell>
          <cell r="F66" t="str">
            <v>12</v>
          </cell>
          <cell r="H66" t="str">
            <v>RSC Mag. 1 Low Warning Eye</v>
          </cell>
          <cell r="I66">
            <v>26</v>
          </cell>
          <cell r="J66" t="str">
            <v>MiscInput</v>
          </cell>
          <cell r="L66" t="str">
            <v>0</v>
          </cell>
          <cell r="M66" t="str">
            <v>151412</v>
          </cell>
          <cell r="N66" t="str">
            <v>SICK</v>
          </cell>
          <cell r="O66" t="str">
            <v>WTB4S-3P2161</v>
          </cell>
          <cell r="P66">
            <v>1042040</v>
          </cell>
          <cell r="Q66" t="str">
            <v>MU02038</v>
          </cell>
          <cell r="AA66">
            <v>1</v>
          </cell>
        </row>
        <row r="67">
          <cell r="A67" t="str">
            <v>CY1411</v>
          </cell>
          <cell r="D67" t="str">
            <v>CY</v>
          </cell>
          <cell r="E67" t="str">
            <v>14</v>
          </cell>
          <cell r="F67" t="str">
            <v>11</v>
          </cell>
          <cell r="H67" t="str">
            <v>RSC Mag. 1 LH Index Cylinder</v>
          </cell>
          <cell r="I67">
            <v>28</v>
          </cell>
          <cell r="J67" t="str">
            <v>Cylinder</v>
          </cell>
          <cell r="L67" t="str">
            <v>0</v>
          </cell>
          <cell r="M67" t="str">
            <v>131411</v>
          </cell>
          <cell r="N67" t="str">
            <v>Festo</v>
          </cell>
          <cell r="O67" t="str">
            <v>dsnu-25-10-p-a</v>
          </cell>
          <cell r="P67" t="str">
            <v>11390-0417</v>
          </cell>
        </row>
        <row r="68">
          <cell r="A68" t="str">
            <v>CY1412</v>
          </cell>
          <cell r="D68" t="str">
            <v>CY</v>
          </cell>
          <cell r="E68" t="str">
            <v>14</v>
          </cell>
          <cell r="F68" t="str">
            <v>12</v>
          </cell>
          <cell r="H68" t="str">
            <v>RSC Mag. 1 RH  Index Cylinder</v>
          </cell>
          <cell r="I68">
            <v>29</v>
          </cell>
          <cell r="J68" t="str">
            <v>Cylinder</v>
          </cell>
          <cell r="L68" t="str">
            <v>0</v>
          </cell>
          <cell r="M68" t="str">
            <v>131412</v>
          </cell>
          <cell r="N68" t="str">
            <v>Festo</v>
          </cell>
          <cell r="O68" t="str">
            <v>dsnu-25-10-p-a</v>
          </cell>
          <cell r="P68" t="str">
            <v>11390-0417</v>
          </cell>
        </row>
        <row r="69">
          <cell r="A69" t="str">
            <v>PE1421</v>
          </cell>
          <cell r="D69" t="str">
            <v>PE</v>
          </cell>
          <cell r="E69" t="str">
            <v>14</v>
          </cell>
          <cell r="F69" t="str">
            <v>21</v>
          </cell>
          <cell r="H69" t="str">
            <v>RSC Mag. 2 Low Level Eye</v>
          </cell>
          <cell r="I69">
            <v>24</v>
          </cell>
          <cell r="J69" t="str">
            <v>MiscInput</v>
          </cell>
          <cell r="L69" t="str">
            <v>0</v>
          </cell>
          <cell r="M69" t="str">
            <v>151421</v>
          </cell>
          <cell r="N69" t="str">
            <v>SICK</v>
          </cell>
          <cell r="O69" t="str">
            <v>WTB4S-3P2161</v>
          </cell>
          <cell r="P69">
            <v>1042040</v>
          </cell>
          <cell r="Q69" t="str">
            <v>MU02038</v>
          </cell>
          <cell r="AE69">
            <v>1</v>
          </cell>
        </row>
        <row r="70">
          <cell r="A70" t="str">
            <v>PE1422</v>
          </cell>
          <cell r="D70" t="str">
            <v>PE</v>
          </cell>
          <cell r="E70" t="str">
            <v>14</v>
          </cell>
          <cell r="F70" t="str">
            <v>22</v>
          </cell>
          <cell r="H70" t="str">
            <v>RSC Mag. 2 Low Warning Eye</v>
          </cell>
          <cell r="I70">
            <v>26</v>
          </cell>
          <cell r="J70" t="str">
            <v>MiscInput</v>
          </cell>
          <cell r="L70" t="str">
            <v>0</v>
          </cell>
          <cell r="M70" t="str">
            <v>151422</v>
          </cell>
          <cell r="N70" t="str">
            <v>SICK</v>
          </cell>
          <cell r="O70" t="str">
            <v>WTB4S-3P2161</v>
          </cell>
          <cell r="P70">
            <v>1042040</v>
          </cell>
          <cell r="Q70" t="str">
            <v>MU02038</v>
          </cell>
          <cell r="AA70">
            <v>1</v>
          </cell>
        </row>
        <row r="71">
          <cell r="A71" t="str">
            <v>CY1421</v>
          </cell>
          <cell r="D71" t="str">
            <v>CY</v>
          </cell>
          <cell r="E71" t="str">
            <v>14</v>
          </cell>
          <cell r="F71" t="str">
            <v>21</v>
          </cell>
          <cell r="H71" t="str">
            <v>RSC Mag. 2 LH Index Cylinder</v>
          </cell>
          <cell r="I71">
            <v>28</v>
          </cell>
          <cell r="J71" t="str">
            <v>Cylinder</v>
          </cell>
          <cell r="L71" t="str">
            <v>0</v>
          </cell>
          <cell r="M71" t="str">
            <v>131421</v>
          </cell>
          <cell r="N71" t="str">
            <v>Festo</v>
          </cell>
          <cell r="O71" t="str">
            <v>dsnu-25-10-p-a</v>
          </cell>
          <cell r="P71" t="str">
            <v>11390-0417</v>
          </cell>
        </row>
        <row r="72">
          <cell r="A72" t="str">
            <v>CY1422</v>
          </cell>
          <cell r="D72" t="str">
            <v>CY</v>
          </cell>
          <cell r="E72" t="str">
            <v>14</v>
          </cell>
          <cell r="F72" t="str">
            <v>22</v>
          </cell>
          <cell r="H72" t="str">
            <v>RSC Mag. 2 RH  Index Cylinder</v>
          </cell>
          <cell r="I72">
            <v>29</v>
          </cell>
          <cell r="J72" t="str">
            <v>Cylinder</v>
          </cell>
          <cell r="L72" t="str">
            <v>0</v>
          </cell>
          <cell r="M72" t="str">
            <v>131422</v>
          </cell>
          <cell r="N72" t="str">
            <v>Festo</v>
          </cell>
          <cell r="O72" t="str">
            <v>dsnu-25-10-p-a</v>
          </cell>
          <cell r="P72" t="str">
            <v>11390-0417</v>
          </cell>
        </row>
        <row r="73">
          <cell r="A73" t="str">
            <v>RSC Plucker</v>
          </cell>
          <cell r="I73">
            <v>0</v>
          </cell>
          <cell r="L73">
            <v>0</v>
          </cell>
          <cell r="M73">
            <v>0</v>
          </cell>
        </row>
        <row r="74">
          <cell r="A74" t="str">
            <v>SC1501</v>
          </cell>
          <cell r="D74" t="str">
            <v>SC</v>
          </cell>
          <cell r="E74" t="str">
            <v>15</v>
          </cell>
          <cell r="F74" t="str">
            <v>01</v>
          </cell>
          <cell r="H74" t="str">
            <v>RSC Plucker Axis</v>
          </cell>
          <cell r="I74">
            <v>16</v>
          </cell>
          <cell r="J74" t="str">
            <v>Axis_CIP</v>
          </cell>
          <cell r="L74" t="str">
            <v>0</v>
          </cell>
          <cell r="M74" t="str">
            <v>171501</v>
          </cell>
          <cell r="N74" t="str">
            <v>Allen Bradley</v>
          </cell>
          <cell r="O74" t="str">
            <v>Kinetix 5500</v>
          </cell>
          <cell r="P74" t="str">
            <v>2198-H015-ERS</v>
          </cell>
        </row>
        <row r="75">
          <cell r="A75" t="str">
            <v>MO1501</v>
          </cell>
          <cell r="D75" t="str">
            <v>MO</v>
          </cell>
          <cell r="E75" t="str">
            <v>15</v>
          </cell>
          <cell r="F75" t="str">
            <v>01</v>
          </cell>
          <cell r="H75" t="str">
            <v>RSC Plucker Motor</v>
          </cell>
          <cell r="I75">
            <v>17</v>
          </cell>
          <cell r="L75">
            <v>0</v>
          </cell>
          <cell r="M75">
            <v>0</v>
          </cell>
          <cell r="N75" t="str">
            <v>Allen Bradley</v>
          </cell>
          <cell r="O75" t="str">
            <v>VPL - Low Inertia Motor</v>
          </cell>
          <cell r="P75" t="str">
            <v>VPL-B0753M-PJ12AA</v>
          </cell>
          <cell r="Q75" t="str">
            <v>2090-CSWM1DF-18AA09</v>
          </cell>
        </row>
        <row r="76">
          <cell r="A76" t="str">
            <v>PX1501</v>
          </cell>
          <cell r="D76" t="str">
            <v>PX</v>
          </cell>
          <cell r="E76" t="str">
            <v>15</v>
          </cell>
          <cell r="F76" t="str">
            <v>01</v>
          </cell>
          <cell r="H76" t="str">
            <v>RSC Plucker Homing Sensor</v>
          </cell>
          <cell r="I76">
            <v>25</v>
          </cell>
          <cell r="J76" t="str">
            <v>MiscInput</v>
          </cell>
          <cell r="L76" t="str">
            <v>0</v>
          </cell>
          <cell r="M76" t="str">
            <v>161501</v>
          </cell>
          <cell r="N76" t="str">
            <v>SICK</v>
          </cell>
          <cell r="O76" t="str">
            <v>IME18-08BPSZC0S</v>
          </cell>
          <cell r="P76">
            <v>1040966</v>
          </cell>
          <cell r="Q76" t="str">
            <v>MU01733</v>
          </cell>
          <cell r="AC76">
            <v>1</v>
          </cell>
        </row>
        <row r="77">
          <cell r="A77" t="str">
            <v>SV1501</v>
          </cell>
          <cell r="D77" t="str">
            <v>SV</v>
          </cell>
          <cell r="E77" t="str">
            <v>15</v>
          </cell>
          <cell r="F77" t="str">
            <v>01</v>
          </cell>
          <cell r="H77" t="str">
            <v>RSC Plucker Vacuum 1</v>
          </cell>
          <cell r="I77">
            <v>20</v>
          </cell>
          <cell r="J77" t="str">
            <v>MiscOutput</v>
          </cell>
          <cell r="L77" t="str">
            <v>0</v>
          </cell>
          <cell r="M77" t="str">
            <v>141501</v>
          </cell>
          <cell r="N77" t="str">
            <v>Festo</v>
          </cell>
        </row>
        <row r="78">
          <cell r="A78" t="str">
            <v>SV1502</v>
          </cell>
          <cell r="D78" t="str">
            <v>SV</v>
          </cell>
          <cell r="E78" t="str">
            <v>15</v>
          </cell>
          <cell r="F78" t="str">
            <v>02</v>
          </cell>
          <cell r="H78" t="str">
            <v>RSC Plucker Vacuum 2</v>
          </cell>
          <cell r="I78">
            <v>20</v>
          </cell>
          <cell r="J78" t="str">
            <v>MiscOutput</v>
          </cell>
          <cell r="L78" t="str">
            <v>0</v>
          </cell>
          <cell r="M78" t="str">
            <v>141502</v>
          </cell>
          <cell r="N78" t="str">
            <v>Festo</v>
          </cell>
        </row>
        <row r="79">
          <cell r="A79" t="str">
            <v>RSC Picture Frame</v>
          </cell>
          <cell r="I79">
            <v>0</v>
          </cell>
          <cell r="L79">
            <v>0</v>
          </cell>
          <cell r="M79">
            <v>0</v>
          </cell>
        </row>
        <row r="80">
          <cell r="A80" t="str">
            <v>PE1611</v>
          </cell>
          <cell r="D80" t="str">
            <v>PE</v>
          </cell>
          <cell r="E80" t="str">
            <v>16</v>
          </cell>
          <cell r="F80" t="str">
            <v>11</v>
          </cell>
          <cell r="H80" t="str">
            <v>RSC Mag. 1 LH Index Sensor</v>
          </cell>
          <cell r="I80">
            <v>26</v>
          </cell>
          <cell r="J80" t="str">
            <v>MiscInput</v>
          </cell>
          <cell r="L80" t="str">
            <v>0</v>
          </cell>
          <cell r="M80" t="str">
            <v>151611</v>
          </cell>
          <cell r="N80" t="str">
            <v>SICK</v>
          </cell>
          <cell r="O80" t="str">
            <v>WTB4S-3P2161</v>
          </cell>
          <cell r="P80">
            <v>1042040</v>
          </cell>
          <cell r="Q80" t="str">
            <v>MU02038</v>
          </cell>
          <cell r="AA80">
            <v>1</v>
          </cell>
        </row>
        <row r="81">
          <cell r="A81" t="str">
            <v>PE1612</v>
          </cell>
          <cell r="D81" t="str">
            <v>PE</v>
          </cell>
          <cell r="E81" t="str">
            <v>16</v>
          </cell>
          <cell r="F81" t="str">
            <v>12</v>
          </cell>
          <cell r="H81" t="str">
            <v>RSC Mag. 1 RH Index Sensor</v>
          </cell>
          <cell r="I81">
            <v>26</v>
          </cell>
          <cell r="J81" t="str">
            <v>MiscInput</v>
          </cell>
          <cell r="L81" t="str">
            <v>0</v>
          </cell>
          <cell r="M81" t="str">
            <v>151612</v>
          </cell>
          <cell r="N81" t="str">
            <v>SICK</v>
          </cell>
          <cell r="O81" t="str">
            <v>WTB4S-3P2161</v>
          </cell>
          <cell r="P81">
            <v>1042040</v>
          </cell>
          <cell r="Q81" t="str">
            <v>MU02038</v>
          </cell>
          <cell r="AA81">
            <v>1</v>
          </cell>
        </row>
        <row r="82">
          <cell r="A82" t="str">
            <v>PE1621</v>
          </cell>
          <cell r="D82" t="str">
            <v>PE</v>
          </cell>
          <cell r="E82" t="str">
            <v>16</v>
          </cell>
          <cell r="F82" t="str">
            <v>21</v>
          </cell>
          <cell r="H82" t="str">
            <v>RSC Mag. 2 LH Index Sensor</v>
          </cell>
          <cell r="I82">
            <v>26</v>
          </cell>
          <cell r="J82" t="str">
            <v>MiscInput</v>
          </cell>
          <cell r="L82" t="str">
            <v>0</v>
          </cell>
          <cell r="M82" t="str">
            <v>151621</v>
          </cell>
          <cell r="N82" t="str">
            <v>SICK</v>
          </cell>
          <cell r="O82" t="str">
            <v>WTB4S-3P2161</v>
          </cell>
          <cell r="P82">
            <v>1042040</v>
          </cell>
          <cell r="Q82" t="str">
            <v>MU02038</v>
          </cell>
          <cell r="AA82">
            <v>1</v>
          </cell>
        </row>
        <row r="83">
          <cell r="A83" t="str">
            <v>PE1622</v>
          </cell>
          <cell r="D83" t="str">
            <v>PE</v>
          </cell>
          <cell r="E83" t="str">
            <v>16</v>
          </cell>
          <cell r="F83" t="str">
            <v>22</v>
          </cell>
          <cell r="H83" t="str">
            <v>RSC Mag. 2 RH Index Sensor</v>
          </cell>
          <cell r="I83">
            <v>26</v>
          </cell>
          <cell r="J83" t="str">
            <v>MiscInput</v>
          </cell>
          <cell r="L83" t="str">
            <v>0</v>
          </cell>
          <cell r="M83" t="str">
            <v>151622</v>
          </cell>
          <cell r="N83" t="str">
            <v>SICK</v>
          </cell>
          <cell r="O83" t="str">
            <v>WTB4S-3P2161</v>
          </cell>
          <cell r="P83">
            <v>1042040</v>
          </cell>
          <cell r="Q83" t="str">
            <v>MU02038</v>
          </cell>
          <cell r="AA83">
            <v>1</v>
          </cell>
        </row>
        <row r="84">
          <cell r="A84" t="str">
            <v>Main Drive</v>
          </cell>
          <cell r="I84">
            <v>0</v>
          </cell>
          <cell r="L84">
            <v>0</v>
          </cell>
          <cell r="M84">
            <v>0</v>
          </cell>
        </row>
        <row r="85">
          <cell r="A85" t="str">
            <v>SC1701</v>
          </cell>
          <cell r="D85" t="str">
            <v>SC</v>
          </cell>
          <cell r="E85" t="str">
            <v>17</v>
          </cell>
          <cell r="F85" t="str">
            <v>01</v>
          </cell>
          <cell r="H85" t="str">
            <v>Main Drive Axis</v>
          </cell>
          <cell r="I85">
            <v>15</v>
          </cell>
          <cell r="J85" t="str">
            <v>Axis_CIP</v>
          </cell>
          <cell r="L85" t="str">
            <v>0</v>
          </cell>
          <cell r="M85" t="str">
            <v>171701</v>
          </cell>
          <cell r="N85" t="str">
            <v>Allen Bradley</v>
          </cell>
          <cell r="O85" t="str">
            <v>Kinetix 5500</v>
          </cell>
          <cell r="P85" t="str">
            <v>2198-H025-ERS</v>
          </cell>
        </row>
        <row r="86">
          <cell r="A86" t="str">
            <v>MO1701</v>
          </cell>
          <cell r="D86" t="str">
            <v>MO</v>
          </cell>
          <cell r="E86" t="str">
            <v>17</v>
          </cell>
          <cell r="F86" t="str">
            <v>01</v>
          </cell>
          <cell r="H86" t="str">
            <v>Main Drive Motor</v>
          </cell>
          <cell r="I86">
            <v>16</v>
          </cell>
          <cell r="L86">
            <v>0</v>
          </cell>
          <cell r="M86">
            <v>0</v>
          </cell>
          <cell r="N86" t="str">
            <v>Allen Bradley</v>
          </cell>
          <cell r="O86" t="str">
            <v>VPL - Low Inertia Motor</v>
          </cell>
          <cell r="P86" t="str">
            <v>VPL-B1652C-PJ12AA</v>
          </cell>
          <cell r="Q86" t="str">
            <v>2090-CSWM1DF-14AA09</v>
          </cell>
        </row>
        <row r="87">
          <cell r="A87" t="str">
            <v>PE1701</v>
          </cell>
          <cell r="D87" t="str">
            <v>PE</v>
          </cell>
          <cell r="E87" t="str">
            <v>17</v>
          </cell>
          <cell r="F87" t="str">
            <v>01</v>
          </cell>
          <cell r="H87" t="str">
            <v>Main Drive Reference Sensor 1</v>
          </cell>
          <cell r="I87">
            <v>29</v>
          </cell>
          <cell r="J87" t="str">
            <v>MiscInput</v>
          </cell>
          <cell r="L87" t="str">
            <v>0</v>
          </cell>
          <cell r="M87" t="str">
            <v>151701</v>
          </cell>
          <cell r="N87" t="str">
            <v>SICK</v>
          </cell>
          <cell r="O87" t="str">
            <v>WTB4SL-3P2261</v>
          </cell>
          <cell r="P87">
            <v>1058237</v>
          </cell>
          <cell r="Q87" t="str">
            <v>MU02055</v>
          </cell>
          <cell r="AC87">
            <v>1</v>
          </cell>
        </row>
        <row r="88">
          <cell r="A88" t="str">
            <v>PE1702</v>
          </cell>
          <cell r="D88" t="str">
            <v>PE</v>
          </cell>
          <cell r="E88" t="str">
            <v>17</v>
          </cell>
          <cell r="F88" t="str">
            <v>02</v>
          </cell>
          <cell r="H88" t="str">
            <v>Main Drive Reference Sensor 2</v>
          </cell>
          <cell r="I88">
            <v>29</v>
          </cell>
          <cell r="J88" t="str">
            <v>MiscInput</v>
          </cell>
          <cell r="L88" t="str">
            <v>0</v>
          </cell>
          <cell r="M88" t="str">
            <v>151702</v>
          </cell>
          <cell r="N88" t="str">
            <v>SICK</v>
          </cell>
          <cell r="O88" t="str">
            <v>WTB4SL-3P2261</v>
          </cell>
          <cell r="P88">
            <v>1058237</v>
          </cell>
          <cell r="Q88" t="str">
            <v>MU02055</v>
          </cell>
          <cell r="AC88">
            <v>1</v>
          </cell>
        </row>
        <row r="89">
          <cell r="A89" t="str">
            <v>PE1711</v>
          </cell>
          <cell r="D89" t="str">
            <v>PE</v>
          </cell>
          <cell r="E89" t="str">
            <v>17</v>
          </cell>
          <cell r="F89" t="str">
            <v>11</v>
          </cell>
          <cell r="H89" t="str">
            <v>RSC Box 1 Sensor</v>
          </cell>
          <cell r="I89">
            <v>16</v>
          </cell>
          <cell r="J89" t="str">
            <v>MiscInput</v>
          </cell>
          <cell r="L89" t="str">
            <v>0</v>
          </cell>
          <cell r="M89" t="str">
            <v>151711</v>
          </cell>
          <cell r="N89" t="str">
            <v>SICK</v>
          </cell>
          <cell r="O89" t="str">
            <v>WTB4S-3P2161</v>
          </cell>
          <cell r="P89">
            <v>1042040</v>
          </cell>
          <cell r="Q89" t="str">
            <v>MU02038</v>
          </cell>
          <cell r="AA89">
            <v>1</v>
          </cell>
        </row>
        <row r="90">
          <cell r="A90" t="str">
            <v>PE1712</v>
          </cell>
          <cell r="D90" t="str">
            <v>PE</v>
          </cell>
          <cell r="E90" t="str">
            <v>17</v>
          </cell>
          <cell r="F90" t="str">
            <v>12</v>
          </cell>
          <cell r="H90" t="str">
            <v>RSC Box 2 Sensor</v>
          </cell>
          <cell r="I90">
            <v>16</v>
          </cell>
          <cell r="J90" t="str">
            <v>MiscInput</v>
          </cell>
          <cell r="L90" t="str">
            <v>0</v>
          </cell>
          <cell r="M90" t="str">
            <v>151712</v>
          </cell>
          <cell r="N90" t="str">
            <v>SICK</v>
          </cell>
          <cell r="O90" t="str">
            <v>WTB4S-3P2161</v>
          </cell>
          <cell r="P90">
            <v>1042040</v>
          </cell>
          <cell r="Q90" t="str">
            <v>MU02038</v>
          </cell>
          <cell r="AA90">
            <v>1</v>
          </cell>
        </row>
        <row r="91">
          <cell r="A91" t="str">
            <v>PE1713</v>
          </cell>
          <cell r="D91" t="str">
            <v>PE</v>
          </cell>
          <cell r="E91" t="str">
            <v>17</v>
          </cell>
          <cell r="F91" t="str">
            <v>13</v>
          </cell>
          <cell r="H91" t="str">
            <v>Bottom Flap Glue Box Sensor</v>
          </cell>
          <cell r="I91">
            <v>27</v>
          </cell>
          <cell r="J91" t="str">
            <v>MiscInput</v>
          </cell>
          <cell r="L91" t="str">
            <v>0</v>
          </cell>
          <cell r="M91" t="str">
            <v>151713</v>
          </cell>
          <cell r="N91" t="str">
            <v>SICK</v>
          </cell>
          <cell r="O91" t="str">
            <v>WTB4S-3P2161</v>
          </cell>
          <cell r="P91">
            <v>1042040</v>
          </cell>
          <cell r="Q91" t="str">
            <v>MU02038</v>
          </cell>
          <cell r="AA91">
            <v>1</v>
          </cell>
        </row>
        <row r="92">
          <cell r="A92" t="str">
            <v>PE1714</v>
          </cell>
          <cell r="D92" t="str">
            <v>PE</v>
          </cell>
          <cell r="E92" t="str">
            <v>17</v>
          </cell>
          <cell r="F92" t="str">
            <v>14</v>
          </cell>
          <cell r="H92" t="str">
            <v>Bottom Spacer Box 1 Sensor</v>
          </cell>
          <cell r="I92">
            <v>26</v>
          </cell>
          <cell r="J92" t="str">
            <v>MiscInput</v>
          </cell>
          <cell r="L92" t="str">
            <v>0</v>
          </cell>
          <cell r="M92" t="str">
            <v>151714</v>
          </cell>
          <cell r="N92" t="str">
            <v>SICK</v>
          </cell>
          <cell r="O92" t="str">
            <v>WTB4S-3P2161</v>
          </cell>
          <cell r="P92">
            <v>1042040</v>
          </cell>
          <cell r="Q92" t="str">
            <v>MU02038</v>
          </cell>
          <cell r="AA92">
            <v>1</v>
          </cell>
        </row>
        <row r="93">
          <cell r="A93" t="str">
            <v>PE1715</v>
          </cell>
          <cell r="D93" t="str">
            <v>PE</v>
          </cell>
          <cell r="E93" t="str">
            <v>17</v>
          </cell>
          <cell r="F93" t="str">
            <v>15</v>
          </cell>
          <cell r="H93" t="str">
            <v>Bottom Spacer Box 2 Sensor</v>
          </cell>
          <cell r="I93">
            <v>26</v>
          </cell>
          <cell r="J93" t="str">
            <v>MiscInput</v>
          </cell>
          <cell r="L93" t="str">
            <v>0</v>
          </cell>
          <cell r="M93" t="str">
            <v>151715</v>
          </cell>
          <cell r="N93" t="str">
            <v>SICK</v>
          </cell>
          <cell r="O93" t="str">
            <v>WTB4S-3P2161</v>
          </cell>
          <cell r="P93">
            <v>1042040</v>
          </cell>
          <cell r="Q93" t="str">
            <v>MU02038</v>
          </cell>
          <cell r="AA93">
            <v>1</v>
          </cell>
        </row>
        <row r="94">
          <cell r="A94" t="str">
            <v>PE1716</v>
          </cell>
          <cell r="D94" t="str">
            <v>PE</v>
          </cell>
          <cell r="E94" t="str">
            <v>17</v>
          </cell>
          <cell r="F94" t="str">
            <v>16</v>
          </cell>
          <cell r="H94" t="str">
            <v>Handle Inserter Box 1 Sensor</v>
          </cell>
          <cell r="I94">
            <v>28</v>
          </cell>
          <cell r="J94" t="str">
            <v>MiscInput</v>
          </cell>
          <cell r="L94" t="str">
            <v>0</v>
          </cell>
          <cell r="M94" t="str">
            <v>151716</v>
          </cell>
          <cell r="N94" t="str">
            <v>SICK</v>
          </cell>
          <cell r="O94" t="str">
            <v>WTB4S-3P2161</v>
          </cell>
          <cell r="P94">
            <v>1042040</v>
          </cell>
          <cell r="Q94" t="str">
            <v>MU02038</v>
          </cell>
          <cell r="AA94">
            <v>1</v>
          </cell>
        </row>
        <row r="95">
          <cell r="A95" t="str">
            <v>PE1717</v>
          </cell>
          <cell r="D95" t="str">
            <v>PE</v>
          </cell>
          <cell r="E95" t="str">
            <v>17</v>
          </cell>
          <cell r="F95" t="str">
            <v>17</v>
          </cell>
          <cell r="H95" t="str">
            <v>Handle Inserter Box 2 Sensor</v>
          </cell>
          <cell r="I95">
            <v>28</v>
          </cell>
          <cell r="J95" t="str">
            <v>MiscInput</v>
          </cell>
          <cell r="L95" t="str">
            <v>0</v>
          </cell>
          <cell r="M95" t="str">
            <v>151717</v>
          </cell>
          <cell r="N95" t="str">
            <v>SICK</v>
          </cell>
          <cell r="O95" t="str">
            <v>WTB4S-3P2161</v>
          </cell>
          <cell r="P95">
            <v>1042040</v>
          </cell>
          <cell r="Q95" t="str">
            <v>MU02038</v>
          </cell>
          <cell r="AA95">
            <v>1</v>
          </cell>
        </row>
        <row r="96">
          <cell r="A96" t="str">
            <v>PE1718</v>
          </cell>
          <cell r="D96" t="str">
            <v>PE</v>
          </cell>
          <cell r="E96" t="str">
            <v>17</v>
          </cell>
          <cell r="F96" t="str">
            <v>18</v>
          </cell>
          <cell r="H96" t="str">
            <v>Load Station Box 1 Sensor</v>
          </cell>
          <cell r="I96">
            <v>25</v>
          </cell>
          <cell r="J96" t="str">
            <v>MiscInput</v>
          </cell>
          <cell r="L96" t="str">
            <v>0</v>
          </cell>
          <cell r="M96" t="str">
            <v>151718</v>
          </cell>
          <cell r="N96" t="str">
            <v>SICK</v>
          </cell>
          <cell r="O96" t="str">
            <v>WTB4S-3P2161</v>
          </cell>
          <cell r="P96">
            <v>1042040</v>
          </cell>
          <cell r="Q96" t="str">
            <v>MU02038</v>
          </cell>
          <cell r="AA96">
            <v>1</v>
          </cell>
        </row>
        <row r="97">
          <cell r="A97" t="str">
            <v>PE1719</v>
          </cell>
          <cell r="D97" t="str">
            <v>PE</v>
          </cell>
          <cell r="E97" t="str">
            <v>17</v>
          </cell>
          <cell r="F97" t="str">
            <v>19</v>
          </cell>
          <cell r="H97" t="str">
            <v>Load Station Box 2 Sensor</v>
          </cell>
          <cell r="I97">
            <v>25</v>
          </cell>
          <cell r="J97" t="str">
            <v>MiscInput</v>
          </cell>
          <cell r="L97" t="str">
            <v>0</v>
          </cell>
          <cell r="M97" t="str">
            <v>151719</v>
          </cell>
          <cell r="N97" t="str">
            <v>SICK</v>
          </cell>
          <cell r="O97" t="str">
            <v>WTB4S-3P2161</v>
          </cell>
          <cell r="P97">
            <v>1042040</v>
          </cell>
          <cell r="Q97" t="str">
            <v>MU02038</v>
          </cell>
          <cell r="AA97">
            <v>1</v>
          </cell>
        </row>
        <row r="98">
          <cell r="A98" t="str">
            <v>PE1720</v>
          </cell>
          <cell r="D98" t="str">
            <v>PE</v>
          </cell>
          <cell r="E98" t="str">
            <v>17</v>
          </cell>
          <cell r="F98" t="str">
            <v>20</v>
          </cell>
          <cell r="H98" t="str">
            <v>Top Spacer Box 1 Sensor</v>
          </cell>
          <cell r="I98">
            <v>23</v>
          </cell>
          <cell r="J98" t="str">
            <v>MiscInput</v>
          </cell>
          <cell r="L98" t="str">
            <v>0</v>
          </cell>
          <cell r="M98" t="str">
            <v>151720</v>
          </cell>
          <cell r="N98" t="str">
            <v>SICK</v>
          </cell>
          <cell r="O98" t="str">
            <v>WTB4S-3P2161</v>
          </cell>
          <cell r="P98">
            <v>1042040</v>
          </cell>
          <cell r="Q98" t="str">
            <v>MU02038</v>
          </cell>
          <cell r="AA98">
            <v>1</v>
          </cell>
        </row>
        <row r="99">
          <cell r="A99" t="str">
            <v>PE1721</v>
          </cell>
          <cell r="D99" t="str">
            <v>PE</v>
          </cell>
          <cell r="E99" t="str">
            <v>17</v>
          </cell>
          <cell r="F99" t="str">
            <v>21</v>
          </cell>
          <cell r="H99" t="str">
            <v>Top Spacer Box 2 Sensor</v>
          </cell>
          <cell r="I99">
            <v>23</v>
          </cell>
          <cell r="J99" t="str">
            <v>MiscInput</v>
          </cell>
          <cell r="L99" t="str">
            <v>0</v>
          </cell>
          <cell r="M99" t="str">
            <v>151721</v>
          </cell>
          <cell r="N99" t="str">
            <v>SICK</v>
          </cell>
          <cell r="O99" t="str">
            <v>WTB4S-3P2161</v>
          </cell>
          <cell r="P99">
            <v>1042040</v>
          </cell>
          <cell r="Q99" t="str">
            <v>MU02038</v>
          </cell>
          <cell r="AA99">
            <v>1</v>
          </cell>
        </row>
        <row r="100">
          <cell r="A100" t="str">
            <v>PE1722</v>
          </cell>
          <cell r="D100" t="str">
            <v>PE</v>
          </cell>
          <cell r="E100" t="str">
            <v>17</v>
          </cell>
          <cell r="F100" t="str">
            <v>22</v>
          </cell>
          <cell r="H100" t="str">
            <v>Lid Open Sensor</v>
          </cell>
          <cell r="I100">
            <v>15</v>
          </cell>
          <cell r="J100" t="str">
            <v>MiscInput</v>
          </cell>
          <cell r="L100" t="str">
            <v>0</v>
          </cell>
          <cell r="M100" t="str">
            <v>151722</v>
          </cell>
          <cell r="N100" t="str">
            <v>SICK</v>
          </cell>
          <cell r="O100" t="str">
            <v>WTB4S-3P2161</v>
          </cell>
          <cell r="P100">
            <v>1042040</v>
          </cell>
          <cell r="Q100" t="str">
            <v>MU02038</v>
          </cell>
          <cell r="AA100">
            <v>1</v>
          </cell>
        </row>
        <row r="101">
          <cell r="A101" t="str">
            <v>Guide Rails</v>
          </cell>
        </row>
        <row r="102">
          <cell r="A102" t="str">
            <v>CY1801</v>
          </cell>
          <cell r="D102" t="str">
            <v>CY</v>
          </cell>
          <cell r="E102" t="str">
            <v>18</v>
          </cell>
          <cell r="F102" t="str">
            <v>01</v>
          </cell>
          <cell r="H102" t="str">
            <v>Rotary Drive</v>
          </cell>
          <cell r="I102">
            <v>12</v>
          </cell>
          <cell r="J102" t="str">
            <v>Cylinder</v>
          </cell>
          <cell r="L102" t="str">
            <v>0</v>
          </cell>
          <cell r="M102" t="str">
            <v>131801</v>
          </cell>
          <cell r="N102" t="str">
            <v>Festo</v>
          </cell>
          <cell r="O102" t="str">
            <v>DSRL-16-180-p-FW</v>
          </cell>
          <cell r="P102" t="str">
            <v>11390-0424</v>
          </cell>
        </row>
        <row r="103">
          <cell r="A103" t="str">
            <v>CY1802</v>
          </cell>
          <cell r="D103" t="str">
            <v>CY</v>
          </cell>
          <cell r="E103" t="str">
            <v>18</v>
          </cell>
          <cell r="F103" t="str">
            <v>02</v>
          </cell>
          <cell r="H103" t="str">
            <v>BS Minor Flap Hold Cyl</v>
          </cell>
          <cell r="I103">
            <v>22</v>
          </cell>
          <cell r="J103" t="str">
            <v>Cylinder</v>
          </cell>
          <cell r="L103" t="str">
            <v>0</v>
          </cell>
          <cell r="M103" t="str">
            <v>131802</v>
          </cell>
          <cell r="N103" t="str">
            <v>Festo</v>
          </cell>
          <cell r="O103" t="str">
            <v>ADN-20-40-a-p-a</v>
          </cell>
          <cell r="P103" t="str">
            <v>11390-0425</v>
          </cell>
        </row>
        <row r="104">
          <cell r="A104" t="str">
            <v>CY1803</v>
          </cell>
          <cell r="D104" t="str">
            <v>CY</v>
          </cell>
          <cell r="E104" t="str">
            <v>18</v>
          </cell>
          <cell r="F104" t="str">
            <v>03</v>
          </cell>
          <cell r="H104" t="str">
            <v>TS Minor Flap Hold Cyl</v>
          </cell>
          <cell r="I104">
            <v>22</v>
          </cell>
          <cell r="J104" t="str">
            <v>Cylinder</v>
          </cell>
          <cell r="L104" t="str">
            <v>0</v>
          </cell>
          <cell r="M104" t="str">
            <v>131803</v>
          </cell>
          <cell r="N104" t="str">
            <v>Festo</v>
          </cell>
          <cell r="O104" t="str">
            <v>ADN-20-40-a-p-a</v>
          </cell>
          <cell r="P104" t="str">
            <v>11390-0425</v>
          </cell>
        </row>
        <row r="105">
          <cell r="A105" t="str">
            <v>CY1804</v>
          </cell>
          <cell r="D105" t="str">
            <v>CY</v>
          </cell>
          <cell r="E105" t="str">
            <v>18</v>
          </cell>
          <cell r="F105" t="str">
            <v>04</v>
          </cell>
          <cell r="H105" t="str">
            <v>Lower Compression Cyl</v>
          </cell>
          <cell r="I105">
            <v>21</v>
          </cell>
          <cell r="J105" t="str">
            <v>Cylinder</v>
          </cell>
          <cell r="L105" t="str">
            <v>0</v>
          </cell>
          <cell r="M105" t="str">
            <v>131804</v>
          </cell>
          <cell r="N105" t="str">
            <v>Festo</v>
          </cell>
          <cell r="O105" t="str">
            <v>DFM-32-70-B-PPV-A-GF</v>
          </cell>
          <cell r="P105" t="str">
            <v>11390-0417</v>
          </cell>
        </row>
        <row r="106">
          <cell r="A106" t="str">
            <v>Merge Conveyor</v>
          </cell>
          <cell r="I106">
            <v>0</v>
          </cell>
          <cell r="L106">
            <v>0</v>
          </cell>
          <cell r="M106">
            <v>0</v>
          </cell>
        </row>
        <row r="107">
          <cell r="A107" t="str">
            <v>SC2001</v>
          </cell>
          <cell r="D107" t="str">
            <v>SC</v>
          </cell>
          <cell r="E107" t="str">
            <v>20</v>
          </cell>
          <cell r="F107" t="str">
            <v>01</v>
          </cell>
          <cell r="H107" t="str">
            <v>Merge Conveyor VSD</v>
          </cell>
          <cell r="I107">
            <v>18</v>
          </cell>
          <cell r="L107">
            <v>0</v>
          </cell>
          <cell r="M107">
            <v>0</v>
          </cell>
          <cell r="N107" t="str">
            <v>Allen Bradley</v>
          </cell>
          <cell r="O107" t="str">
            <v>PowerFlex 4M</v>
          </cell>
        </row>
        <row r="108">
          <cell r="A108" t="str">
            <v>MO2001</v>
          </cell>
          <cell r="D108" t="str">
            <v>MO</v>
          </cell>
          <cell r="E108" t="str">
            <v>20</v>
          </cell>
          <cell r="F108" t="str">
            <v>01</v>
          </cell>
          <cell r="H108" t="str">
            <v>Merge Conveyor</v>
          </cell>
          <cell r="I108">
            <v>14</v>
          </cell>
          <cell r="J108" t="str">
            <v>Motor</v>
          </cell>
          <cell r="L108" t="str">
            <v>0</v>
          </cell>
          <cell r="M108" t="str">
            <v>182001</v>
          </cell>
          <cell r="N108" t="str">
            <v>SEW</v>
          </cell>
        </row>
        <row r="109">
          <cell r="A109" t="str">
            <v>Single Splitter</v>
          </cell>
          <cell r="I109">
            <v>0</v>
          </cell>
          <cell r="L109">
            <v>0</v>
          </cell>
          <cell r="M109">
            <v>0</v>
          </cell>
        </row>
        <row r="110">
          <cell r="A110" t="str">
            <v>SC2101</v>
          </cell>
          <cell r="D110" t="str">
            <v>SC</v>
          </cell>
          <cell r="E110" t="str">
            <v>21</v>
          </cell>
          <cell r="F110" t="str">
            <v>01</v>
          </cell>
          <cell r="H110" t="str">
            <v>Single Splitter Axis 1</v>
          </cell>
          <cell r="I110">
            <v>22</v>
          </cell>
          <cell r="J110" t="str">
            <v>Axis_CIP</v>
          </cell>
          <cell r="L110" t="str">
            <v>0</v>
          </cell>
          <cell r="M110" t="str">
            <v>172101</v>
          </cell>
          <cell r="N110" t="str">
            <v>Allen Bradley</v>
          </cell>
          <cell r="O110" t="str">
            <v>Kinetix 5500</v>
          </cell>
          <cell r="P110" t="str">
            <v>2198-H015-ERS</v>
          </cell>
        </row>
        <row r="111">
          <cell r="A111" t="str">
            <v>MO2101</v>
          </cell>
          <cell r="D111" t="str">
            <v>MO</v>
          </cell>
          <cell r="E111" t="str">
            <v>21</v>
          </cell>
          <cell r="F111" t="str">
            <v>01</v>
          </cell>
          <cell r="H111" t="str">
            <v>Single Splitter Motor 1</v>
          </cell>
          <cell r="I111">
            <v>23</v>
          </cell>
          <cell r="L111">
            <v>0</v>
          </cell>
          <cell r="M111">
            <v>0</v>
          </cell>
          <cell r="N111" t="str">
            <v>Allen Bradley</v>
          </cell>
          <cell r="O111" t="str">
            <v>VPL - Low Inertia Motor</v>
          </cell>
          <cell r="P111" t="str">
            <v>VPL-B0753M-PJ12AA</v>
          </cell>
          <cell r="Q111" t="str">
            <v>2090-CSWM1DF-18AA09</v>
          </cell>
        </row>
        <row r="112">
          <cell r="A112" t="str">
            <v>SC2102</v>
          </cell>
          <cell r="D112" t="str">
            <v>SC</v>
          </cell>
          <cell r="E112" t="str">
            <v>21</v>
          </cell>
          <cell r="F112" t="str">
            <v>02</v>
          </cell>
          <cell r="H112" t="str">
            <v>Single Splitter Axis 2</v>
          </cell>
          <cell r="I112">
            <v>22</v>
          </cell>
          <cell r="J112" t="str">
            <v>Axis_CIP</v>
          </cell>
          <cell r="L112" t="str">
            <v>0</v>
          </cell>
          <cell r="M112" t="str">
            <v>172102</v>
          </cell>
          <cell r="N112" t="str">
            <v>Allen Bradley</v>
          </cell>
          <cell r="O112" t="str">
            <v>Kinetix 5500</v>
          </cell>
          <cell r="P112" t="str">
            <v>2198-H015-ERS</v>
          </cell>
        </row>
        <row r="113">
          <cell r="A113" t="str">
            <v>MO2102</v>
          </cell>
          <cell r="D113" t="str">
            <v>MO</v>
          </cell>
          <cell r="E113" t="str">
            <v>21</v>
          </cell>
          <cell r="F113" t="str">
            <v>02</v>
          </cell>
          <cell r="H113" t="str">
            <v>Single Splitter Motor 2</v>
          </cell>
          <cell r="I113">
            <v>23</v>
          </cell>
          <cell r="L113">
            <v>0</v>
          </cell>
          <cell r="M113">
            <v>0</v>
          </cell>
          <cell r="N113" t="str">
            <v>Allen Bradley</v>
          </cell>
          <cell r="O113" t="str">
            <v>VPL - Low Inertia Motor</v>
          </cell>
          <cell r="P113" t="str">
            <v>VPL-B0753M-PJ12AA</v>
          </cell>
          <cell r="Q113" t="str">
            <v>2090-CSWM1DF-18AA09</v>
          </cell>
        </row>
        <row r="114">
          <cell r="A114" t="str">
            <v>SC2103</v>
          </cell>
          <cell r="D114" t="str">
            <v>SC</v>
          </cell>
          <cell r="E114" t="str">
            <v>21</v>
          </cell>
          <cell r="F114" t="str">
            <v>03</v>
          </cell>
          <cell r="H114" t="str">
            <v>Single Splitter Divert VSD</v>
          </cell>
          <cell r="I114">
            <v>26</v>
          </cell>
          <cell r="L114">
            <v>0</v>
          </cell>
          <cell r="M114">
            <v>0</v>
          </cell>
          <cell r="N114" t="str">
            <v>Allen Bradley</v>
          </cell>
          <cell r="O114" t="str">
            <v>Powerflex 525</v>
          </cell>
        </row>
        <row r="115">
          <cell r="A115" t="str">
            <v>MO2103</v>
          </cell>
          <cell r="D115" t="str">
            <v>MO</v>
          </cell>
          <cell r="E115" t="str">
            <v>21</v>
          </cell>
          <cell r="F115" t="str">
            <v>03</v>
          </cell>
          <cell r="H115" t="str">
            <v>Single Splitter Divert Motor</v>
          </cell>
          <cell r="I115">
            <v>28</v>
          </cell>
          <cell r="J115" t="str">
            <v>Motor</v>
          </cell>
          <cell r="L115" t="str">
            <v>0</v>
          </cell>
          <cell r="M115" t="str">
            <v>182103</v>
          </cell>
          <cell r="N115" t="str">
            <v>SEW</v>
          </cell>
        </row>
        <row r="116">
          <cell r="A116" t="str">
            <v>PE2101</v>
          </cell>
          <cell r="D116" t="str">
            <v>PE</v>
          </cell>
          <cell r="E116" t="str">
            <v>21</v>
          </cell>
          <cell r="F116" t="str">
            <v>01</v>
          </cell>
          <cell r="H116" t="str">
            <v>Single Splitter Count Eye</v>
          </cell>
          <cell r="I116">
            <v>25</v>
          </cell>
          <cell r="J116" t="str">
            <v>MiscInput</v>
          </cell>
          <cell r="L116" t="str">
            <v>0</v>
          </cell>
          <cell r="M116" t="str">
            <v>152101</v>
          </cell>
          <cell r="N116" t="str">
            <v>SICK</v>
          </cell>
          <cell r="O116" t="str">
            <v>WTB12-3P2431</v>
          </cell>
          <cell r="P116">
            <v>1041411</v>
          </cell>
          <cell r="Q116" t="str">
            <v>MU01733</v>
          </cell>
          <cell r="AC116">
            <v>1</v>
          </cell>
        </row>
        <row r="117">
          <cell r="A117" t="str">
            <v>PE2102</v>
          </cell>
          <cell r="D117" t="str">
            <v>PE</v>
          </cell>
          <cell r="E117" t="str">
            <v>21</v>
          </cell>
          <cell r="F117" t="str">
            <v>02</v>
          </cell>
          <cell r="H117" t="str">
            <v>Single Splitter Reject Eye</v>
          </cell>
          <cell r="I117">
            <v>26</v>
          </cell>
          <cell r="J117" t="str">
            <v>MiscInput</v>
          </cell>
          <cell r="L117" t="str">
            <v>0</v>
          </cell>
          <cell r="M117" t="str">
            <v>152102</v>
          </cell>
          <cell r="N117" t="str">
            <v>SICK</v>
          </cell>
          <cell r="O117" t="str">
            <v>WTB12-3P2431</v>
          </cell>
          <cell r="P117">
            <v>1041411</v>
          </cell>
          <cell r="Q117" t="str">
            <v>MU01733</v>
          </cell>
          <cell r="U117">
            <v>1</v>
          </cell>
        </row>
        <row r="118">
          <cell r="A118" t="str">
            <v>PE2103</v>
          </cell>
          <cell r="D118" t="str">
            <v>PE</v>
          </cell>
          <cell r="E118" t="str">
            <v>21</v>
          </cell>
          <cell r="F118" t="str">
            <v>03</v>
          </cell>
          <cell r="H118" t="str">
            <v>Single Splitter Divert Eye</v>
          </cell>
          <cell r="I118">
            <v>26</v>
          </cell>
          <cell r="J118" t="str">
            <v>MiscInput</v>
          </cell>
          <cell r="L118" t="str">
            <v>0</v>
          </cell>
          <cell r="M118" t="str">
            <v>152103</v>
          </cell>
          <cell r="N118" t="str">
            <v>SICK</v>
          </cell>
          <cell r="O118" t="str">
            <v>WTB12-3P2431</v>
          </cell>
          <cell r="P118">
            <v>1041411</v>
          </cell>
          <cell r="Q118" t="str">
            <v>MU01733</v>
          </cell>
          <cell r="U118">
            <v>1</v>
          </cell>
        </row>
        <row r="119">
          <cell r="A119" t="str">
            <v>PX2101</v>
          </cell>
          <cell r="D119" t="str">
            <v>PX</v>
          </cell>
          <cell r="E119" t="str">
            <v>21</v>
          </cell>
          <cell r="F119" t="str">
            <v>01</v>
          </cell>
          <cell r="H119" t="str">
            <v>Single Splitter Divert Prox A</v>
          </cell>
          <cell r="I119">
            <v>29</v>
          </cell>
          <cell r="J119" t="str">
            <v>MiscInput</v>
          </cell>
          <cell r="L119" t="str">
            <v>0</v>
          </cell>
          <cell r="M119" t="str">
            <v>162101</v>
          </cell>
          <cell r="N119" t="str">
            <v>SICK</v>
          </cell>
          <cell r="O119" t="str">
            <v>IME18-08BPSZC0S</v>
          </cell>
          <cell r="P119">
            <v>1040966</v>
          </cell>
          <cell r="Q119" t="str">
            <v>MU01733</v>
          </cell>
          <cell r="U119">
            <v>1</v>
          </cell>
        </row>
        <row r="120">
          <cell r="A120" t="str">
            <v>PX2102</v>
          </cell>
          <cell r="D120" t="str">
            <v>PX</v>
          </cell>
          <cell r="E120" t="str">
            <v>21</v>
          </cell>
          <cell r="F120" t="str">
            <v>02</v>
          </cell>
          <cell r="H120" t="str">
            <v>Single Splitter Divert Prox B</v>
          </cell>
          <cell r="I120">
            <v>29</v>
          </cell>
          <cell r="J120" t="str">
            <v>MiscInput</v>
          </cell>
          <cell r="L120" t="str">
            <v>0</v>
          </cell>
          <cell r="M120" t="str">
            <v>162102</v>
          </cell>
          <cell r="N120" t="str">
            <v>SICK</v>
          </cell>
          <cell r="O120" t="str">
            <v>IME18-08BPSZC0S</v>
          </cell>
          <cell r="P120">
            <v>1040966</v>
          </cell>
          <cell r="Q120" t="str">
            <v>MU01733</v>
          </cell>
          <cell r="U120">
            <v>1</v>
          </cell>
        </row>
        <row r="121">
          <cell r="A121" t="str">
            <v>Double Splitter Conveyor</v>
          </cell>
          <cell r="I121">
            <v>0</v>
          </cell>
          <cell r="L121">
            <v>0</v>
          </cell>
          <cell r="M121">
            <v>0</v>
          </cell>
        </row>
        <row r="122">
          <cell r="A122" t="str">
            <v>SC2201</v>
          </cell>
          <cell r="D122" t="str">
            <v>SC</v>
          </cell>
          <cell r="E122" t="str">
            <v>22</v>
          </cell>
          <cell r="F122" t="str">
            <v>01</v>
          </cell>
          <cell r="H122" t="str">
            <v>Double Splitter Conveyor VSD</v>
          </cell>
          <cell r="I122">
            <v>28</v>
          </cell>
          <cell r="L122">
            <v>0</v>
          </cell>
          <cell r="M122">
            <v>0</v>
          </cell>
          <cell r="N122" t="str">
            <v>Allen Bradley</v>
          </cell>
          <cell r="O122" t="str">
            <v>PowerFlex 4M</v>
          </cell>
        </row>
        <row r="123">
          <cell r="A123" t="str">
            <v>MO2201</v>
          </cell>
          <cell r="D123" t="str">
            <v>MO</v>
          </cell>
          <cell r="E123" t="str">
            <v>22</v>
          </cell>
          <cell r="F123" t="str">
            <v>01</v>
          </cell>
          <cell r="H123" t="str">
            <v>Double Splitter Conveyor</v>
          </cell>
          <cell r="I123">
            <v>24</v>
          </cell>
          <cell r="J123" t="str">
            <v>Motor</v>
          </cell>
          <cell r="L123" t="str">
            <v>0</v>
          </cell>
          <cell r="M123" t="str">
            <v>182201</v>
          </cell>
          <cell r="N123" t="str">
            <v>SEW</v>
          </cell>
        </row>
        <row r="124">
          <cell r="A124" t="str">
            <v>PE2201</v>
          </cell>
          <cell r="D124" t="str">
            <v>PE</v>
          </cell>
          <cell r="E124" t="str">
            <v>22</v>
          </cell>
          <cell r="F124" t="str">
            <v>01</v>
          </cell>
          <cell r="H124" t="str">
            <v>Lane A Low Level Eye</v>
          </cell>
          <cell r="I124">
            <v>20</v>
          </cell>
          <cell r="J124" t="str">
            <v>MiscInput</v>
          </cell>
          <cell r="L124" t="str">
            <v>0</v>
          </cell>
          <cell r="M124" t="str">
            <v>152201</v>
          </cell>
          <cell r="N124" t="str">
            <v>SICK</v>
          </cell>
          <cell r="O124" t="str">
            <v>WTB12-3P2431</v>
          </cell>
          <cell r="P124">
            <v>1041411</v>
          </cell>
          <cell r="Q124" t="str">
            <v>MU01733</v>
          </cell>
          <cell r="U124">
            <v>1</v>
          </cell>
        </row>
        <row r="125">
          <cell r="A125" t="str">
            <v>PE2202</v>
          </cell>
          <cell r="D125" t="str">
            <v>PE</v>
          </cell>
          <cell r="E125" t="str">
            <v>22</v>
          </cell>
          <cell r="F125" t="str">
            <v>02</v>
          </cell>
          <cell r="H125" t="str">
            <v>Lane A High Level Eye</v>
          </cell>
          <cell r="I125">
            <v>21</v>
          </cell>
          <cell r="J125" t="str">
            <v>MiscInput</v>
          </cell>
          <cell r="L125" t="str">
            <v>0</v>
          </cell>
          <cell r="M125" t="str">
            <v>152202</v>
          </cell>
          <cell r="N125" t="str">
            <v>SICK</v>
          </cell>
          <cell r="O125" t="str">
            <v>WTB12-3P2431</v>
          </cell>
          <cell r="P125">
            <v>1041411</v>
          </cell>
          <cell r="Q125" t="str">
            <v>MU01733</v>
          </cell>
          <cell r="U125">
            <v>1</v>
          </cell>
        </row>
        <row r="126">
          <cell r="A126" t="str">
            <v>PE2211</v>
          </cell>
          <cell r="D126" t="str">
            <v>PE</v>
          </cell>
          <cell r="E126" t="str">
            <v>22</v>
          </cell>
          <cell r="F126" t="str">
            <v>11</v>
          </cell>
          <cell r="H126" t="str">
            <v>Lane B Low Level Eye</v>
          </cell>
          <cell r="I126">
            <v>20</v>
          </cell>
          <cell r="J126" t="str">
            <v>MiscInput</v>
          </cell>
          <cell r="L126" t="str">
            <v>0</v>
          </cell>
          <cell r="M126" t="str">
            <v>152211</v>
          </cell>
          <cell r="N126" t="str">
            <v>SICK</v>
          </cell>
          <cell r="O126" t="str">
            <v>WTB12-3P2431</v>
          </cell>
          <cell r="P126">
            <v>1041411</v>
          </cell>
          <cell r="Q126" t="str">
            <v>MU01733</v>
          </cell>
          <cell r="U126">
            <v>1</v>
          </cell>
        </row>
        <row r="127">
          <cell r="A127" t="str">
            <v>PE2212</v>
          </cell>
          <cell r="D127" t="str">
            <v>PE</v>
          </cell>
          <cell r="E127" t="str">
            <v>22</v>
          </cell>
          <cell r="F127" t="str">
            <v>12</v>
          </cell>
          <cell r="H127" t="str">
            <v>Lane B High Level Eye</v>
          </cell>
          <cell r="I127">
            <v>21</v>
          </cell>
          <cell r="J127" t="str">
            <v>MiscInput</v>
          </cell>
          <cell r="L127" t="str">
            <v>0</v>
          </cell>
          <cell r="M127" t="str">
            <v>152212</v>
          </cell>
          <cell r="N127" t="str">
            <v>SICK</v>
          </cell>
          <cell r="O127" t="str">
            <v>WTB12-3P2431</v>
          </cell>
          <cell r="P127">
            <v>1041411</v>
          </cell>
          <cell r="Q127" t="str">
            <v>MU01733</v>
          </cell>
          <cell r="U127">
            <v>1</v>
          </cell>
        </row>
        <row r="128">
          <cell r="A128" t="str">
            <v>Double Splitter</v>
          </cell>
          <cell r="I128">
            <v>0</v>
          </cell>
          <cell r="L128">
            <v>0</v>
          </cell>
          <cell r="M128">
            <v>0</v>
          </cell>
        </row>
        <row r="129">
          <cell r="A129" t="str">
            <v>SC2301</v>
          </cell>
          <cell r="D129" t="str">
            <v>SC</v>
          </cell>
          <cell r="E129" t="str">
            <v>23</v>
          </cell>
          <cell r="F129" t="str">
            <v>01</v>
          </cell>
          <cell r="H129" t="str">
            <v>Dbl Splitter Lane A Axis 1</v>
          </cell>
          <cell r="I129">
            <v>26</v>
          </cell>
          <cell r="J129" t="str">
            <v>Axis_CIP</v>
          </cell>
          <cell r="L129" t="str">
            <v>0</v>
          </cell>
          <cell r="M129" t="str">
            <v>172301</v>
          </cell>
          <cell r="N129" t="str">
            <v>Allen Bradley</v>
          </cell>
          <cell r="O129" t="str">
            <v>Kinetix 5500</v>
          </cell>
          <cell r="P129" t="str">
            <v>2198-H015-ERS</v>
          </cell>
        </row>
        <row r="130">
          <cell r="A130" t="str">
            <v>MO2301</v>
          </cell>
          <cell r="D130" t="str">
            <v>MO</v>
          </cell>
          <cell r="E130" t="str">
            <v>23</v>
          </cell>
          <cell r="F130" t="str">
            <v>01</v>
          </cell>
          <cell r="H130" t="str">
            <v>Dbl Splitter Lane A Motor 1</v>
          </cell>
          <cell r="I130">
            <v>27</v>
          </cell>
          <cell r="L130">
            <v>0</v>
          </cell>
          <cell r="M130">
            <v>0</v>
          </cell>
          <cell r="N130" t="str">
            <v>Allen Bradley</v>
          </cell>
          <cell r="O130" t="str">
            <v>VPL - Low Inertia Motor</v>
          </cell>
          <cell r="P130" t="str">
            <v>VPL-B0753M-PJ12AA</v>
          </cell>
          <cell r="Q130" t="str">
            <v>2090-CSWM1DF-18AA09</v>
          </cell>
        </row>
        <row r="131">
          <cell r="A131" t="str">
            <v>SC2302</v>
          </cell>
          <cell r="D131" t="str">
            <v>SC</v>
          </cell>
          <cell r="E131" t="str">
            <v>23</v>
          </cell>
          <cell r="F131" t="str">
            <v>02</v>
          </cell>
          <cell r="H131" t="str">
            <v>Dbl Splitter Lane A Axis 2</v>
          </cell>
          <cell r="I131">
            <v>26</v>
          </cell>
          <cell r="J131" t="str">
            <v>Axis_CIP</v>
          </cell>
          <cell r="L131" t="str">
            <v>0</v>
          </cell>
          <cell r="M131" t="str">
            <v>172302</v>
          </cell>
          <cell r="N131" t="str">
            <v>Allen Bradley</v>
          </cell>
          <cell r="O131" t="str">
            <v>Kinetix 5500</v>
          </cell>
          <cell r="P131" t="str">
            <v>2198-H015-ERS</v>
          </cell>
        </row>
        <row r="132">
          <cell r="A132" t="str">
            <v>MO2302</v>
          </cell>
          <cell r="D132" t="str">
            <v>MO</v>
          </cell>
          <cell r="E132" t="str">
            <v>23</v>
          </cell>
          <cell r="F132" t="str">
            <v>02</v>
          </cell>
          <cell r="H132" t="str">
            <v>Dbl Splitter Lane A Motor 2</v>
          </cell>
          <cell r="I132">
            <v>27</v>
          </cell>
          <cell r="L132">
            <v>0</v>
          </cell>
          <cell r="M132">
            <v>0</v>
          </cell>
          <cell r="N132" t="str">
            <v>Allen Bradley</v>
          </cell>
          <cell r="O132" t="str">
            <v>VPL - Low Inertia Motor</v>
          </cell>
          <cell r="P132" t="str">
            <v>VPL-B0753M-PJ12AA</v>
          </cell>
          <cell r="Q132" t="str">
            <v>2090-CSWM1DF-18AA09</v>
          </cell>
        </row>
        <row r="133">
          <cell r="A133" t="str">
            <v>PE2301</v>
          </cell>
          <cell r="D133" t="str">
            <v>PE</v>
          </cell>
          <cell r="E133" t="str">
            <v>23</v>
          </cell>
          <cell r="F133" t="str">
            <v>01</v>
          </cell>
          <cell r="H133" t="str">
            <v>Dbl Splitter Lane A Count Eye</v>
          </cell>
          <cell r="I133">
            <v>29</v>
          </cell>
          <cell r="J133" t="str">
            <v>MiscInput</v>
          </cell>
          <cell r="L133" t="str">
            <v>0</v>
          </cell>
          <cell r="M133" t="str">
            <v>152301</v>
          </cell>
          <cell r="N133" t="str">
            <v>SICK</v>
          </cell>
          <cell r="O133" t="str">
            <v>WTB12-3P2431</v>
          </cell>
          <cell r="P133">
            <v>1041411</v>
          </cell>
          <cell r="Q133" t="str">
            <v>MU01733</v>
          </cell>
          <cell r="AC133">
            <v>1</v>
          </cell>
        </row>
        <row r="134">
          <cell r="A134" t="str">
            <v>PE2302</v>
          </cell>
          <cell r="D134" t="str">
            <v>PE</v>
          </cell>
          <cell r="E134" t="str">
            <v>23</v>
          </cell>
          <cell r="F134" t="str">
            <v>02</v>
          </cell>
          <cell r="H134" t="str">
            <v>Dbl Splitter Lane A Reject Eye</v>
          </cell>
          <cell r="I134">
            <v>30</v>
          </cell>
          <cell r="J134" t="str">
            <v>MiscInput</v>
          </cell>
          <cell r="L134" t="str">
            <v>0</v>
          </cell>
          <cell r="M134" t="str">
            <v>152302</v>
          </cell>
          <cell r="N134" t="str">
            <v>SICK</v>
          </cell>
          <cell r="O134" t="str">
            <v>WTB12-3P2431</v>
          </cell>
          <cell r="P134">
            <v>1041411</v>
          </cell>
          <cell r="Q134" t="str">
            <v>MU01733</v>
          </cell>
          <cell r="U134">
            <v>1</v>
          </cell>
        </row>
        <row r="135">
          <cell r="A135" t="str">
            <v>SC2311</v>
          </cell>
          <cell r="D135" t="str">
            <v>SC</v>
          </cell>
          <cell r="E135" t="str">
            <v>23</v>
          </cell>
          <cell r="F135" t="str">
            <v>11</v>
          </cell>
          <cell r="H135" t="str">
            <v>Dbl Splitter Lane B Axis 1</v>
          </cell>
          <cell r="I135">
            <v>26</v>
          </cell>
          <cell r="J135" t="str">
            <v>Axis_CIP</v>
          </cell>
          <cell r="L135" t="str">
            <v>0</v>
          </cell>
          <cell r="M135" t="str">
            <v>172311</v>
          </cell>
          <cell r="N135" t="str">
            <v>Allen Bradley</v>
          </cell>
          <cell r="O135" t="str">
            <v>Kinetix 5500</v>
          </cell>
          <cell r="P135" t="str">
            <v>2198-H015-ERS</v>
          </cell>
        </row>
        <row r="136">
          <cell r="A136" t="str">
            <v>MO2311</v>
          </cell>
          <cell r="D136" t="str">
            <v>MO</v>
          </cell>
          <cell r="E136" t="str">
            <v>23</v>
          </cell>
          <cell r="F136" t="str">
            <v>11</v>
          </cell>
          <cell r="H136" t="str">
            <v>Dbl Splitter Lane B Motor 1</v>
          </cell>
          <cell r="I136">
            <v>27</v>
          </cell>
          <cell r="L136">
            <v>0</v>
          </cell>
          <cell r="M136">
            <v>0</v>
          </cell>
          <cell r="N136" t="str">
            <v>Allen Bradley</v>
          </cell>
          <cell r="O136" t="str">
            <v>VPL - Low Inertia Motor</v>
          </cell>
          <cell r="P136" t="str">
            <v>VPL-B0753M-PJ12AA</v>
          </cell>
          <cell r="Q136" t="str">
            <v>2090-CSWM1DF-18AA09</v>
          </cell>
        </row>
        <row r="137">
          <cell r="A137" t="str">
            <v>SC2312</v>
          </cell>
          <cell r="D137" t="str">
            <v>SC</v>
          </cell>
          <cell r="E137" t="str">
            <v>23</v>
          </cell>
          <cell r="F137" t="str">
            <v>12</v>
          </cell>
          <cell r="H137" t="str">
            <v>Dbl Splitter Lane B Axis 2</v>
          </cell>
          <cell r="I137">
            <v>26</v>
          </cell>
          <cell r="J137" t="str">
            <v>Axis_CIP</v>
          </cell>
          <cell r="L137" t="str">
            <v>0</v>
          </cell>
          <cell r="M137" t="str">
            <v>172312</v>
          </cell>
          <cell r="N137" t="str">
            <v>Allen Bradley</v>
          </cell>
          <cell r="O137" t="str">
            <v>Kinetix 5500</v>
          </cell>
          <cell r="P137" t="str">
            <v>2198-H015-ERS</v>
          </cell>
        </row>
        <row r="138">
          <cell r="A138" t="str">
            <v>MO2312</v>
          </cell>
          <cell r="D138" t="str">
            <v>MO</v>
          </cell>
          <cell r="E138" t="str">
            <v>23</v>
          </cell>
          <cell r="F138" t="str">
            <v>12</v>
          </cell>
          <cell r="H138" t="str">
            <v>Dbl Splitter Lane B Motor 2</v>
          </cell>
          <cell r="I138">
            <v>27</v>
          </cell>
          <cell r="L138">
            <v>0</v>
          </cell>
          <cell r="M138">
            <v>0</v>
          </cell>
          <cell r="N138" t="str">
            <v>Allen Bradley</v>
          </cell>
          <cell r="O138" t="str">
            <v>VPL - Low Inertia Motor</v>
          </cell>
          <cell r="P138" t="str">
            <v>VPL-B0753M-PJ12AA</v>
          </cell>
          <cell r="Q138" t="str">
            <v>2090-CSWM1DF-18AA09</v>
          </cell>
        </row>
        <row r="139">
          <cell r="A139" t="str">
            <v>PE2311</v>
          </cell>
          <cell r="D139" t="str">
            <v>PE</v>
          </cell>
          <cell r="E139" t="str">
            <v>23</v>
          </cell>
          <cell r="F139" t="str">
            <v>11</v>
          </cell>
          <cell r="H139" t="str">
            <v>Dbl Splitter Lane B Count Eye</v>
          </cell>
          <cell r="I139">
            <v>29</v>
          </cell>
          <cell r="J139" t="str">
            <v>MiscInput</v>
          </cell>
          <cell r="L139" t="str">
            <v>0</v>
          </cell>
          <cell r="M139" t="str">
            <v>152311</v>
          </cell>
          <cell r="N139" t="str">
            <v>SICK</v>
          </cell>
          <cell r="O139" t="str">
            <v>WTB12-3P2431</v>
          </cell>
          <cell r="P139">
            <v>1041411</v>
          </cell>
          <cell r="Q139" t="str">
            <v>MU01733</v>
          </cell>
          <cell r="AC139">
            <v>1</v>
          </cell>
        </row>
        <row r="140">
          <cell r="A140" t="str">
            <v>PE2312</v>
          </cell>
          <cell r="D140" t="str">
            <v>PE</v>
          </cell>
          <cell r="E140" t="str">
            <v>23</v>
          </cell>
          <cell r="F140" t="str">
            <v>12</v>
          </cell>
          <cell r="H140" t="str">
            <v>Dbl Splitter Lane B Reject Eye</v>
          </cell>
          <cell r="I140">
            <v>30</v>
          </cell>
          <cell r="J140" t="str">
            <v>MiscInput</v>
          </cell>
          <cell r="L140" t="str">
            <v>0</v>
          </cell>
          <cell r="M140" t="str">
            <v>152312</v>
          </cell>
          <cell r="N140" t="str">
            <v>SICK</v>
          </cell>
          <cell r="O140" t="str">
            <v>WTB12-3P2431</v>
          </cell>
          <cell r="P140">
            <v>1041411</v>
          </cell>
          <cell r="Q140" t="str">
            <v>MU01733</v>
          </cell>
          <cell r="U140">
            <v>1</v>
          </cell>
        </row>
        <row r="141">
          <cell r="A141" t="str">
            <v>Single Splitter Conveyor</v>
          </cell>
          <cell r="I141">
            <v>0</v>
          </cell>
          <cell r="L141">
            <v>0</v>
          </cell>
          <cell r="M141">
            <v>0</v>
          </cell>
        </row>
        <row r="142">
          <cell r="A142" t="str">
            <v>SC2401</v>
          </cell>
          <cell r="D142" t="str">
            <v>SC</v>
          </cell>
          <cell r="E142" t="str">
            <v>24</v>
          </cell>
          <cell r="F142" t="str">
            <v>01</v>
          </cell>
          <cell r="H142" t="str">
            <v>Single Splitter Conveyor VSD</v>
          </cell>
          <cell r="I142">
            <v>28</v>
          </cell>
          <cell r="L142">
            <v>0</v>
          </cell>
          <cell r="M142">
            <v>0</v>
          </cell>
          <cell r="N142" t="str">
            <v>Allen Bradley</v>
          </cell>
          <cell r="O142" t="str">
            <v>PowerFlex 4M</v>
          </cell>
        </row>
        <row r="143">
          <cell r="A143" t="str">
            <v>MO2401</v>
          </cell>
          <cell r="D143" t="str">
            <v>MO</v>
          </cell>
          <cell r="E143" t="str">
            <v>24</v>
          </cell>
          <cell r="F143" t="str">
            <v>01</v>
          </cell>
          <cell r="H143" t="str">
            <v>Single Splitter Conveyor</v>
          </cell>
          <cell r="I143">
            <v>24</v>
          </cell>
          <cell r="J143" t="str">
            <v>Motor</v>
          </cell>
          <cell r="L143" t="str">
            <v>0</v>
          </cell>
          <cell r="M143" t="str">
            <v>182401</v>
          </cell>
          <cell r="N143" t="str">
            <v>SEW</v>
          </cell>
        </row>
        <row r="144">
          <cell r="A144" t="str">
            <v>PE2401</v>
          </cell>
          <cell r="D144" t="str">
            <v>PE</v>
          </cell>
          <cell r="E144" t="str">
            <v>24</v>
          </cell>
          <cell r="F144" t="str">
            <v>01</v>
          </cell>
          <cell r="H144" t="str">
            <v>Single Splitter Low Level Eye</v>
          </cell>
          <cell r="I144">
            <v>29</v>
          </cell>
          <cell r="J144" t="str">
            <v>MiscInput</v>
          </cell>
          <cell r="L144" t="str">
            <v>0</v>
          </cell>
          <cell r="M144" t="str">
            <v>152401</v>
          </cell>
          <cell r="N144" t="str">
            <v>SICK</v>
          </cell>
          <cell r="O144" t="str">
            <v>WTB12-3P2431</v>
          </cell>
          <cell r="P144">
            <v>1041411</v>
          </cell>
          <cell r="Q144" t="str">
            <v>MU01733</v>
          </cell>
        </row>
        <row r="145">
          <cell r="A145" t="str">
            <v>Flighted Chain</v>
          </cell>
          <cell r="I145">
            <v>0</v>
          </cell>
          <cell r="L145">
            <v>0</v>
          </cell>
          <cell r="M145">
            <v>0</v>
          </cell>
        </row>
        <row r="146">
          <cell r="A146" t="str">
            <v>SC2501</v>
          </cell>
          <cell r="D146" t="str">
            <v>SC</v>
          </cell>
          <cell r="E146" t="str">
            <v>25</v>
          </cell>
          <cell r="F146" t="str">
            <v>01</v>
          </cell>
          <cell r="H146" t="str">
            <v>Flighted Chain Axis</v>
          </cell>
          <cell r="I146">
            <v>19</v>
          </cell>
          <cell r="J146" t="str">
            <v>Axis_CIP</v>
          </cell>
          <cell r="L146" t="str">
            <v>0</v>
          </cell>
          <cell r="M146" t="str">
            <v>172501</v>
          </cell>
          <cell r="N146" t="str">
            <v>Allen Bradley</v>
          </cell>
          <cell r="O146" t="str">
            <v>Kinetix 5500</v>
          </cell>
          <cell r="P146" t="str">
            <v>2198-H015-ERS</v>
          </cell>
        </row>
        <row r="147">
          <cell r="A147" t="str">
            <v>MO2501</v>
          </cell>
          <cell r="D147" t="str">
            <v>MO</v>
          </cell>
          <cell r="E147" t="str">
            <v>25</v>
          </cell>
          <cell r="F147" t="str">
            <v>01</v>
          </cell>
          <cell r="H147" t="str">
            <v>Flighted Chain Motor</v>
          </cell>
          <cell r="I147">
            <v>20</v>
          </cell>
          <cell r="L147">
            <v>0</v>
          </cell>
          <cell r="M147">
            <v>0</v>
          </cell>
          <cell r="N147" t="str">
            <v>Allen Bradley</v>
          </cell>
          <cell r="O147" t="str">
            <v>VPL - Low Inertia Motor</v>
          </cell>
          <cell r="P147" t="str">
            <v>VPL-B0753M-PJ12AA</v>
          </cell>
          <cell r="Q147" t="str">
            <v>2090-CSWM1DF-18AA09</v>
          </cell>
        </row>
        <row r="148">
          <cell r="A148" t="str">
            <v>PX2501</v>
          </cell>
          <cell r="D148" t="str">
            <v>PX</v>
          </cell>
          <cell r="E148" t="str">
            <v>25</v>
          </cell>
          <cell r="F148" t="str">
            <v>01</v>
          </cell>
          <cell r="H148" t="str">
            <v>Flighted Chain Homing Sensor</v>
          </cell>
          <cell r="I148">
            <v>28</v>
          </cell>
          <cell r="J148" t="str">
            <v>MiscInput</v>
          </cell>
          <cell r="L148" t="str">
            <v>0</v>
          </cell>
          <cell r="M148" t="str">
            <v>162501</v>
          </cell>
          <cell r="N148" t="str">
            <v>SICK</v>
          </cell>
          <cell r="O148" t="str">
            <v>IME18-08BPSZC0S</v>
          </cell>
          <cell r="P148">
            <v>1040966</v>
          </cell>
          <cell r="Q148" t="str">
            <v>MU01733</v>
          </cell>
          <cell r="AC148">
            <v>1</v>
          </cell>
        </row>
        <row r="149">
          <cell r="A149" t="str">
            <v>CY2501</v>
          </cell>
          <cell r="D149" t="str">
            <v>CY</v>
          </cell>
          <cell r="E149" t="str">
            <v>25</v>
          </cell>
          <cell r="F149" t="str">
            <v>01</v>
          </cell>
          <cell r="H149" t="str">
            <v>Pop-up Guide Cylinder</v>
          </cell>
          <cell r="I149">
            <v>21</v>
          </cell>
          <cell r="J149" t="str">
            <v>Cylinder</v>
          </cell>
          <cell r="L149" t="str">
            <v>0</v>
          </cell>
          <cell r="M149" t="str">
            <v>132501</v>
          </cell>
          <cell r="N149" t="str">
            <v>Festo</v>
          </cell>
          <cell r="O149" t="str">
            <v>dsnu-16-10-pps-a</v>
          </cell>
          <cell r="P149" t="str">
            <v>11390-0409</v>
          </cell>
          <cell r="AA149">
            <v>2</v>
          </cell>
        </row>
        <row r="150">
          <cell r="A150" t="str">
            <v>CY2502</v>
          </cell>
          <cell r="D150" t="str">
            <v>CY</v>
          </cell>
          <cell r="E150" t="str">
            <v>25</v>
          </cell>
          <cell r="F150" t="str">
            <v>02</v>
          </cell>
          <cell r="H150" t="str">
            <v>Minor Flap Open Cylinder</v>
          </cell>
          <cell r="I150">
            <v>24</v>
          </cell>
          <cell r="J150" t="str">
            <v>Cylinder</v>
          </cell>
          <cell r="L150" t="str">
            <v>0</v>
          </cell>
          <cell r="M150" t="str">
            <v>132502</v>
          </cell>
          <cell r="N150" t="str">
            <v>Festo</v>
          </cell>
          <cell r="O150" t="str">
            <v>dsnu-16-20-ppv-a</v>
          </cell>
          <cell r="P150" t="str">
            <v>11390-0408</v>
          </cell>
          <cell r="AA150">
            <v>2</v>
          </cell>
        </row>
        <row r="151">
          <cell r="A151" t="str">
            <v>Hawk</v>
          </cell>
          <cell r="I151">
            <v>0</v>
          </cell>
          <cell r="L151">
            <v>0</v>
          </cell>
          <cell r="M151">
            <v>0</v>
          </cell>
        </row>
        <row r="152">
          <cell r="A152" t="str">
            <v>SC2601</v>
          </cell>
          <cell r="D152" t="str">
            <v>SC</v>
          </cell>
          <cell r="E152" t="str">
            <v>26</v>
          </cell>
          <cell r="F152" t="str">
            <v>01</v>
          </cell>
          <cell r="H152" t="str">
            <v>Hawk Axis 1</v>
          </cell>
          <cell r="I152">
            <v>11</v>
          </cell>
          <cell r="J152" t="str">
            <v>Axis_CIP</v>
          </cell>
          <cell r="L152" t="str">
            <v>0</v>
          </cell>
          <cell r="M152" t="str">
            <v>172601</v>
          </cell>
          <cell r="N152" t="str">
            <v>Allen Bradley</v>
          </cell>
          <cell r="O152" t="str">
            <v>Kinetix 5500</v>
          </cell>
          <cell r="P152" t="str">
            <v>2198-H025-ERS</v>
          </cell>
        </row>
        <row r="153">
          <cell r="A153" t="str">
            <v>MO2601</v>
          </cell>
          <cell r="D153" t="str">
            <v>MO</v>
          </cell>
          <cell r="E153" t="str">
            <v>26</v>
          </cell>
          <cell r="F153" t="str">
            <v>01</v>
          </cell>
          <cell r="H153" t="str">
            <v>Hawk Motor 1</v>
          </cell>
          <cell r="I153">
            <v>12</v>
          </cell>
          <cell r="L153">
            <v>0</v>
          </cell>
          <cell r="M153">
            <v>0</v>
          </cell>
          <cell r="N153" t="str">
            <v>Allen Bradley</v>
          </cell>
          <cell r="O153" t="str">
            <v>VPL - Low Inertia Motor</v>
          </cell>
          <cell r="P153" t="str">
            <v>VPL-B1003T-PJ14AA</v>
          </cell>
          <cell r="Q153" t="str">
            <v>2090-CSBM1DF-14AA09</v>
          </cell>
        </row>
        <row r="154">
          <cell r="A154" t="str">
            <v>PB2601</v>
          </cell>
          <cell r="D154" t="str">
            <v>PB</v>
          </cell>
          <cell r="E154" t="str">
            <v>26</v>
          </cell>
          <cell r="F154" t="str">
            <v>01</v>
          </cell>
          <cell r="H154" t="str">
            <v>Hawk Motor 1 Brake Release</v>
          </cell>
          <cell r="I154">
            <v>26</v>
          </cell>
          <cell r="J154" t="str">
            <v>MiscInput</v>
          </cell>
          <cell r="N154" t="str">
            <v>Allen Bradley</v>
          </cell>
          <cell r="U154">
            <v>1</v>
          </cell>
        </row>
        <row r="155">
          <cell r="A155" t="str">
            <v>SC2602</v>
          </cell>
          <cell r="D155" t="str">
            <v>SC</v>
          </cell>
          <cell r="E155" t="str">
            <v>26</v>
          </cell>
          <cell r="F155" t="str">
            <v>02</v>
          </cell>
          <cell r="H155" t="str">
            <v>Hawk Axis 2</v>
          </cell>
          <cell r="I155">
            <v>11</v>
          </cell>
          <cell r="J155" t="str">
            <v>Axis_CIP</v>
          </cell>
          <cell r="L155" t="str">
            <v>0</v>
          </cell>
          <cell r="M155" t="str">
            <v>172602</v>
          </cell>
          <cell r="N155" t="str">
            <v>Allen Bradley</v>
          </cell>
          <cell r="O155" t="str">
            <v>Kinetix 5500</v>
          </cell>
          <cell r="P155" t="str">
            <v>2198-H025-ERS</v>
          </cell>
        </row>
        <row r="156">
          <cell r="A156" t="str">
            <v>MO2602</v>
          </cell>
          <cell r="D156" t="str">
            <v>MO</v>
          </cell>
          <cell r="E156" t="str">
            <v>26</v>
          </cell>
          <cell r="F156" t="str">
            <v>02</v>
          </cell>
          <cell r="H156" t="str">
            <v>Hawk Motor 2</v>
          </cell>
          <cell r="I156">
            <v>12</v>
          </cell>
          <cell r="L156">
            <v>0</v>
          </cell>
          <cell r="M156">
            <v>0</v>
          </cell>
          <cell r="N156" t="str">
            <v>Allen Bradley</v>
          </cell>
          <cell r="O156" t="str">
            <v>VPL - Low Inertia Motor</v>
          </cell>
          <cell r="P156" t="str">
            <v>VPL-B1003T-PJ14AA</v>
          </cell>
          <cell r="Q156" t="str">
            <v>2090-CSBM1DF-14AA09</v>
          </cell>
        </row>
        <row r="157">
          <cell r="A157" t="str">
            <v>PB2602</v>
          </cell>
          <cell r="D157" t="str">
            <v>PB</v>
          </cell>
          <cell r="E157" t="str">
            <v>26</v>
          </cell>
          <cell r="F157" t="str">
            <v>02</v>
          </cell>
          <cell r="H157" t="str">
            <v>Hawk Motor 2 Brake Release</v>
          </cell>
          <cell r="I157">
            <v>26</v>
          </cell>
          <cell r="J157" t="str">
            <v>MiscInput</v>
          </cell>
          <cell r="L157" t="str">
            <v>0</v>
          </cell>
          <cell r="M157" t="str">
            <v>192602</v>
          </cell>
          <cell r="N157" t="str">
            <v>Allen Bradley</v>
          </cell>
          <cell r="U157">
            <v>1</v>
          </cell>
        </row>
        <row r="158">
          <cell r="A158" t="str">
            <v>Handle Inserter</v>
          </cell>
          <cell r="I158">
            <v>0</v>
          </cell>
          <cell r="L158">
            <v>0</v>
          </cell>
          <cell r="M158">
            <v>0</v>
          </cell>
        </row>
        <row r="159">
          <cell r="A159" t="str">
            <v>PE2711</v>
          </cell>
          <cell r="D159" t="str">
            <v>PE</v>
          </cell>
          <cell r="E159" t="str">
            <v>27</v>
          </cell>
          <cell r="F159" t="str">
            <v>11</v>
          </cell>
          <cell r="H159" t="str">
            <v>Magazine 1 Load Sensor</v>
          </cell>
          <cell r="I159">
            <v>22</v>
          </cell>
          <cell r="J159" t="str">
            <v>MiscInput</v>
          </cell>
          <cell r="L159" t="str">
            <v>0</v>
          </cell>
          <cell r="M159" t="str">
            <v>152711</v>
          </cell>
          <cell r="N159" t="str">
            <v>SICK</v>
          </cell>
          <cell r="O159" t="str">
            <v>WTB4S-3P2161</v>
          </cell>
          <cell r="P159">
            <v>1042040</v>
          </cell>
          <cell r="Q159" t="str">
            <v>MU02038</v>
          </cell>
          <cell r="AA159">
            <v>1</v>
          </cell>
        </row>
        <row r="160">
          <cell r="A160" t="str">
            <v>PE2712</v>
          </cell>
          <cell r="D160" t="str">
            <v>PE</v>
          </cell>
          <cell r="E160" t="str">
            <v>27</v>
          </cell>
          <cell r="F160" t="str">
            <v>12</v>
          </cell>
          <cell r="H160" t="str">
            <v>Magazine 1 Low Level Sensor</v>
          </cell>
          <cell r="I160">
            <v>27</v>
          </cell>
          <cell r="J160" t="str">
            <v>MiscInput</v>
          </cell>
          <cell r="L160" t="str">
            <v>0</v>
          </cell>
          <cell r="M160" t="str">
            <v>152712</v>
          </cell>
          <cell r="N160" t="str">
            <v>SICK</v>
          </cell>
          <cell r="O160" t="str">
            <v>WTB4S-3P2161</v>
          </cell>
          <cell r="P160">
            <v>1042040</v>
          </cell>
          <cell r="Q160" t="str">
            <v>MU02038</v>
          </cell>
          <cell r="AA160">
            <v>1</v>
          </cell>
        </row>
        <row r="161">
          <cell r="A161" t="str">
            <v>CY2711</v>
          </cell>
          <cell r="D161" t="str">
            <v>CY</v>
          </cell>
          <cell r="E161" t="str">
            <v>27</v>
          </cell>
          <cell r="F161" t="str">
            <v>11</v>
          </cell>
          <cell r="H161" t="str">
            <v>Magazine 1 Handle Insert Cyl</v>
          </cell>
          <cell r="I161">
            <v>28</v>
          </cell>
          <cell r="J161" t="str">
            <v>Cylinder</v>
          </cell>
          <cell r="L161" t="str">
            <v>0</v>
          </cell>
          <cell r="M161" t="str">
            <v>132711</v>
          </cell>
          <cell r="N161" t="str">
            <v>Festo</v>
          </cell>
          <cell r="O161" t="str">
            <v>dsnu-25-150-pps</v>
          </cell>
          <cell r="P161" t="str">
            <v>11390-0419</v>
          </cell>
          <cell r="AA161">
            <v>2</v>
          </cell>
        </row>
        <row r="162">
          <cell r="A162" t="str">
            <v>CY2712</v>
          </cell>
          <cell r="D162" t="str">
            <v>CY</v>
          </cell>
          <cell r="E162" t="str">
            <v>27</v>
          </cell>
          <cell r="F162" t="str">
            <v>12</v>
          </cell>
          <cell r="H162" t="str">
            <v>Magazine 1 Index Cylinder</v>
          </cell>
          <cell r="I162">
            <v>25</v>
          </cell>
          <cell r="J162" t="str">
            <v>Cylinder</v>
          </cell>
          <cell r="L162" t="str">
            <v>0</v>
          </cell>
          <cell r="M162" t="str">
            <v>132712</v>
          </cell>
          <cell r="N162" t="str">
            <v>Festo</v>
          </cell>
          <cell r="O162" t="str">
            <v>dsnu-12-25-ppv-a</v>
          </cell>
          <cell r="P162" t="str">
            <v>11390-0420</v>
          </cell>
        </row>
        <row r="163">
          <cell r="A163" t="str">
            <v>CY2713</v>
          </cell>
          <cell r="D163" t="str">
            <v>CY</v>
          </cell>
          <cell r="E163" t="str">
            <v>27</v>
          </cell>
          <cell r="F163" t="str">
            <v>13</v>
          </cell>
          <cell r="H163" t="str">
            <v>Magazine 1 Pin Lift Cylinder</v>
          </cell>
          <cell r="I163">
            <v>28</v>
          </cell>
          <cell r="J163" t="str">
            <v>Cylinder</v>
          </cell>
          <cell r="L163" t="str">
            <v>0</v>
          </cell>
          <cell r="M163" t="str">
            <v>132713</v>
          </cell>
          <cell r="N163" t="str">
            <v>Festo</v>
          </cell>
          <cell r="O163" t="str">
            <v>dfm-20-20-p-a-gf</v>
          </cell>
          <cell r="P163" t="str">
            <v>11390-0421</v>
          </cell>
        </row>
        <row r="164">
          <cell r="A164" t="str">
            <v>CY2714</v>
          </cell>
          <cell r="D164" t="str">
            <v>CY</v>
          </cell>
          <cell r="E164" t="str">
            <v>27</v>
          </cell>
          <cell r="F164" t="str">
            <v>14</v>
          </cell>
          <cell r="H164" t="str">
            <v>Magazine 1  Mask Cylinder</v>
          </cell>
          <cell r="I164">
            <v>25</v>
          </cell>
          <cell r="J164" t="str">
            <v>Cylinder</v>
          </cell>
          <cell r="L164" t="str">
            <v>0</v>
          </cell>
          <cell r="M164" t="str">
            <v>132714</v>
          </cell>
          <cell r="N164" t="str">
            <v>Festo</v>
          </cell>
          <cell r="O164" t="str">
            <v>dsnu-25-30-pps-a</v>
          </cell>
          <cell r="P164" t="str">
            <v>11390-0422</v>
          </cell>
          <cell r="AA164">
            <v>2</v>
          </cell>
        </row>
        <row r="165">
          <cell r="A165" t="str">
            <v>PE2721</v>
          </cell>
          <cell r="D165" t="str">
            <v>PE</v>
          </cell>
          <cell r="E165" t="str">
            <v>27</v>
          </cell>
          <cell r="F165" t="str">
            <v>21</v>
          </cell>
          <cell r="H165" t="str">
            <v>Magazine 2 Load Sensor</v>
          </cell>
          <cell r="I165">
            <v>22</v>
          </cell>
          <cell r="J165" t="str">
            <v>MiscInput</v>
          </cell>
          <cell r="L165" t="str">
            <v>0</v>
          </cell>
          <cell r="M165" t="str">
            <v>152721</v>
          </cell>
          <cell r="N165" t="str">
            <v>SICK</v>
          </cell>
          <cell r="O165" t="str">
            <v>WTB4S-3P2161</v>
          </cell>
          <cell r="P165">
            <v>1042040</v>
          </cell>
          <cell r="Q165" t="str">
            <v>MU02038</v>
          </cell>
          <cell r="AA165">
            <v>1</v>
          </cell>
        </row>
        <row r="166">
          <cell r="A166" t="str">
            <v>PE2722</v>
          </cell>
          <cell r="D166" t="str">
            <v>PE</v>
          </cell>
          <cell r="E166" t="str">
            <v>27</v>
          </cell>
          <cell r="F166" t="str">
            <v>22</v>
          </cell>
          <cell r="H166" t="str">
            <v>Magazine 2 Low Level Sensor</v>
          </cell>
          <cell r="I166">
            <v>27</v>
          </cell>
          <cell r="J166" t="str">
            <v>MiscInput</v>
          </cell>
          <cell r="L166" t="str">
            <v>0</v>
          </cell>
          <cell r="M166" t="str">
            <v>152722</v>
          </cell>
          <cell r="N166" t="str">
            <v>SICK</v>
          </cell>
          <cell r="O166" t="str">
            <v>WTB4S-3P2161</v>
          </cell>
          <cell r="P166">
            <v>1042040</v>
          </cell>
          <cell r="Q166" t="str">
            <v>MU02038</v>
          </cell>
          <cell r="AA166">
            <v>1</v>
          </cell>
        </row>
        <row r="167">
          <cell r="A167" t="str">
            <v>CY2721</v>
          </cell>
          <cell r="D167" t="str">
            <v>CY</v>
          </cell>
          <cell r="E167" t="str">
            <v>27</v>
          </cell>
          <cell r="F167" t="str">
            <v>21</v>
          </cell>
          <cell r="H167" t="str">
            <v>Magazine 2 Handle Insert Cyl</v>
          </cell>
          <cell r="I167">
            <v>28</v>
          </cell>
          <cell r="J167" t="str">
            <v>Cylinder</v>
          </cell>
          <cell r="L167" t="str">
            <v>0</v>
          </cell>
          <cell r="M167" t="str">
            <v>132721</v>
          </cell>
          <cell r="N167" t="str">
            <v>Festo</v>
          </cell>
          <cell r="O167" t="str">
            <v>dsnu-25-150-pps</v>
          </cell>
          <cell r="P167" t="str">
            <v>11390-0419</v>
          </cell>
          <cell r="AA167">
            <v>2</v>
          </cell>
        </row>
        <row r="168">
          <cell r="A168" t="str">
            <v>CY2722</v>
          </cell>
          <cell r="D168" t="str">
            <v>CY</v>
          </cell>
          <cell r="E168" t="str">
            <v>27</v>
          </cell>
          <cell r="F168" t="str">
            <v>22</v>
          </cell>
          <cell r="H168" t="str">
            <v>Magazine 2 Index Cylinder</v>
          </cell>
          <cell r="I168">
            <v>25</v>
          </cell>
          <cell r="J168" t="str">
            <v>Cylinder</v>
          </cell>
          <cell r="L168" t="str">
            <v>0</v>
          </cell>
          <cell r="M168" t="str">
            <v>132722</v>
          </cell>
          <cell r="N168" t="str">
            <v>Festo</v>
          </cell>
          <cell r="O168" t="str">
            <v>dsnu-12-25-ppv-a</v>
          </cell>
          <cell r="P168" t="str">
            <v>11390-0420</v>
          </cell>
        </row>
        <row r="169">
          <cell r="A169" t="str">
            <v>CY2723</v>
          </cell>
          <cell r="D169" t="str">
            <v>CY</v>
          </cell>
          <cell r="E169" t="str">
            <v>27</v>
          </cell>
          <cell r="F169" t="str">
            <v>23</v>
          </cell>
          <cell r="H169" t="str">
            <v>Magazine 2 Pin Lift Cylinder</v>
          </cell>
          <cell r="I169">
            <v>28</v>
          </cell>
          <cell r="J169" t="str">
            <v>Cylinder</v>
          </cell>
          <cell r="L169" t="str">
            <v>0</v>
          </cell>
          <cell r="M169" t="str">
            <v>132723</v>
          </cell>
          <cell r="N169" t="str">
            <v>Festo</v>
          </cell>
          <cell r="O169" t="str">
            <v>dfm-20-20-p-a-gf</v>
          </cell>
          <cell r="P169" t="str">
            <v>11390-0421</v>
          </cell>
        </row>
        <row r="170">
          <cell r="A170" t="str">
            <v>CY2724</v>
          </cell>
          <cell r="D170" t="str">
            <v>CY</v>
          </cell>
          <cell r="E170" t="str">
            <v>27</v>
          </cell>
          <cell r="F170" t="str">
            <v>24</v>
          </cell>
          <cell r="H170" t="str">
            <v>Magazine 2  Mask Cylinder</v>
          </cell>
          <cell r="I170">
            <v>25</v>
          </cell>
          <cell r="J170" t="str">
            <v>Cylinder</v>
          </cell>
          <cell r="L170" t="str">
            <v>0</v>
          </cell>
          <cell r="M170" t="str">
            <v>132724</v>
          </cell>
          <cell r="N170" t="str">
            <v>Festo</v>
          </cell>
          <cell r="O170" t="str">
            <v>dsnu-25-30-pps-a</v>
          </cell>
          <cell r="P170" t="str">
            <v>11390-0422</v>
          </cell>
          <cell r="AA170">
            <v>2</v>
          </cell>
        </row>
        <row r="171">
          <cell r="A171" t="str">
            <v>Spacer Magazines</v>
          </cell>
          <cell r="I171">
            <v>0</v>
          </cell>
          <cell r="L171">
            <v>0</v>
          </cell>
          <cell r="M171">
            <v>0</v>
          </cell>
        </row>
        <row r="172">
          <cell r="A172" t="str">
            <v>PE2811</v>
          </cell>
          <cell r="D172" t="str">
            <v>PE</v>
          </cell>
          <cell r="E172" t="str">
            <v>28</v>
          </cell>
          <cell r="F172" t="str">
            <v>11</v>
          </cell>
          <cell r="H172" t="str">
            <v>Spacer Mag. 1 Low Level Eye</v>
          </cell>
          <cell r="I172">
            <v>27</v>
          </cell>
          <cell r="J172" t="str">
            <v>MiscInput</v>
          </cell>
          <cell r="L172" t="str">
            <v>0</v>
          </cell>
          <cell r="M172" t="str">
            <v>152811</v>
          </cell>
          <cell r="N172" t="str">
            <v>SICK</v>
          </cell>
          <cell r="O172" t="str">
            <v>WTB4S-3P2161</v>
          </cell>
          <cell r="P172">
            <v>1042040</v>
          </cell>
          <cell r="Q172" t="str">
            <v>MU02038</v>
          </cell>
          <cell r="AE172">
            <v>1</v>
          </cell>
        </row>
        <row r="173">
          <cell r="A173" t="str">
            <v>PE2812</v>
          </cell>
          <cell r="D173" t="str">
            <v>PE</v>
          </cell>
          <cell r="E173" t="str">
            <v>28</v>
          </cell>
          <cell r="F173" t="str">
            <v>12</v>
          </cell>
          <cell r="H173" t="str">
            <v>Spacer Mag. 1 Low Warning Eye</v>
          </cell>
          <cell r="I173">
            <v>29</v>
          </cell>
          <cell r="J173" t="str">
            <v>MiscInput</v>
          </cell>
          <cell r="L173" t="str">
            <v>0</v>
          </cell>
          <cell r="M173" t="str">
            <v>152812</v>
          </cell>
          <cell r="N173" t="str">
            <v>SICK</v>
          </cell>
          <cell r="O173" t="str">
            <v>WTB4S-3P2161</v>
          </cell>
          <cell r="P173">
            <v>1042040</v>
          </cell>
          <cell r="Q173" t="str">
            <v>MU02038</v>
          </cell>
          <cell r="AA173">
            <v>1</v>
          </cell>
        </row>
        <row r="174">
          <cell r="A174" t="str">
            <v>PX2811</v>
          </cell>
          <cell r="D174" t="str">
            <v>PX</v>
          </cell>
          <cell r="E174" t="str">
            <v>28</v>
          </cell>
          <cell r="F174" t="str">
            <v>11</v>
          </cell>
          <cell r="H174" t="str">
            <v>Spacer Mag. 1 Index Sensor</v>
          </cell>
          <cell r="I174">
            <v>26</v>
          </cell>
          <cell r="J174" t="str">
            <v>MiscInput</v>
          </cell>
          <cell r="L174" t="str">
            <v>0</v>
          </cell>
          <cell r="M174" t="str">
            <v>162811</v>
          </cell>
          <cell r="N174" t="str">
            <v>SICK</v>
          </cell>
          <cell r="O174" t="str">
            <v>IME08-02BPSZT0S</v>
          </cell>
          <cell r="P174">
            <v>1040870</v>
          </cell>
          <cell r="Q174" t="str">
            <v>MU02038</v>
          </cell>
          <cell r="AA174">
            <v>1</v>
          </cell>
        </row>
        <row r="175">
          <cell r="A175" t="str">
            <v>CY2811</v>
          </cell>
          <cell r="D175" t="str">
            <v>CY</v>
          </cell>
          <cell r="E175" t="str">
            <v>28</v>
          </cell>
          <cell r="F175" t="str">
            <v>11</v>
          </cell>
          <cell r="H175" t="str">
            <v>Spacer Mag. 1 Index Cylinder</v>
          </cell>
          <cell r="I175">
            <v>28</v>
          </cell>
          <cell r="J175" t="str">
            <v>Cylinder</v>
          </cell>
          <cell r="L175" t="str">
            <v>0</v>
          </cell>
          <cell r="M175" t="str">
            <v>132811</v>
          </cell>
          <cell r="N175" t="str">
            <v>Festo</v>
          </cell>
          <cell r="O175" t="str">
            <v>dsnu-25-10-p-a</v>
          </cell>
          <cell r="P175" t="str">
            <v>11390-0423</v>
          </cell>
        </row>
        <row r="176">
          <cell r="A176" t="str">
            <v>PE2821</v>
          </cell>
          <cell r="D176" t="str">
            <v>PE</v>
          </cell>
          <cell r="E176" t="str">
            <v>28</v>
          </cell>
          <cell r="F176" t="str">
            <v>21</v>
          </cell>
          <cell r="H176" t="str">
            <v>Spacer Mag. 2 Low Level Eye</v>
          </cell>
          <cell r="I176">
            <v>27</v>
          </cell>
          <cell r="J176" t="str">
            <v>MiscInput</v>
          </cell>
          <cell r="L176" t="str">
            <v>0</v>
          </cell>
          <cell r="M176" t="str">
            <v>152821</v>
          </cell>
          <cell r="N176" t="str">
            <v>SICK</v>
          </cell>
          <cell r="O176" t="str">
            <v>WTB4S-3P2161</v>
          </cell>
          <cell r="P176">
            <v>1042040</v>
          </cell>
          <cell r="Q176" t="str">
            <v>MU02038</v>
          </cell>
          <cell r="AE176">
            <v>1</v>
          </cell>
        </row>
        <row r="177">
          <cell r="A177" t="str">
            <v>PE2822</v>
          </cell>
          <cell r="D177" t="str">
            <v>PE</v>
          </cell>
          <cell r="E177" t="str">
            <v>28</v>
          </cell>
          <cell r="F177" t="str">
            <v>22</v>
          </cell>
          <cell r="H177" t="str">
            <v>Spacer Mag. 2 Low Warning Eye</v>
          </cell>
          <cell r="I177">
            <v>29</v>
          </cell>
          <cell r="J177" t="str">
            <v>MiscInput</v>
          </cell>
          <cell r="L177" t="str">
            <v>0</v>
          </cell>
          <cell r="M177" t="str">
            <v>152822</v>
          </cell>
          <cell r="N177" t="str">
            <v>SICK</v>
          </cell>
          <cell r="O177" t="str">
            <v>WTB4S-3P2161</v>
          </cell>
          <cell r="P177">
            <v>1042040</v>
          </cell>
          <cell r="Q177" t="str">
            <v>MU02038</v>
          </cell>
          <cell r="AA177">
            <v>1</v>
          </cell>
        </row>
        <row r="178">
          <cell r="A178" t="str">
            <v>PX2821</v>
          </cell>
          <cell r="D178" t="str">
            <v>PX</v>
          </cell>
          <cell r="E178" t="str">
            <v>28</v>
          </cell>
          <cell r="F178" t="str">
            <v>21</v>
          </cell>
          <cell r="H178" t="str">
            <v>Spacer Mag. 2 Index Sensor</v>
          </cell>
          <cell r="I178">
            <v>26</v>
          </cell>
          <cell r="J178" t="str">
            <v>MiscInput</v>
          </cell>
          <cell r="L178" t="str">
            <v>0</v>
          </cell>
          <cell r="M178" t="str">
            <v>162821</v>
          </cell>
          <cell r="N178" t="str">
            <v>SICK</v>
          </cell>
          <cell r="O178" t="str">
            <v>IME08-02BPSZT0S</v>
          </cell>
          <cell r="P178">
            <v>1040870</v>
          </cell>
          <cell r="Q178" t="str">
            <v>MU02038</v>
          </cell>
          <cell r="AA178">
            <v>1</v>
          </cell>
        </row>
        <row r="179">
          <cell r="A179" t="str">
            <v>CY2821</v>
          </cell>
          <cell r="D179" t="str">
            <v>CY</v>
          </cell>
          <cell r="E179" t="str">
            <v>28</v>
          </cell>
          <cell r="F179" t="str">
            <v>21</v>
          </cell>
          <cell r="H179" t="str">
            <v>Spacer Mag. 2 Index Cylinder</v>
          </cell>
          <cell r="I179">
            <v>28</v>
          </cell>
          <cell r="J179" t="str">
            <v>Cylinder</v>
          </cell>
          <cell r="L179" t="str">
            <v>0</v>
          </cell>
          <cell r="M179" t="str">
            <v>132821</v>
          </cell>
          <cell r="N179" t="str">
            <v>Festo</v>
          </cell>
          <cell r="O179" t="str">
            <v>dsnu-25-10-p-a</v>
          </cell>
          <cell r="P179" t="str">
            <v>11390-0423</v>
          </cell>
        </row>
        <row r="180">
          <cell r="A180" t="str">
            <v>PE2831</v>
          </cell>
          <cell r="D180" t="str">
            <v>PE</v>
          </cell>
          <cell r="E180" t="str">
            <v>28</v>
          </cell>
          <cell r="F180" t="str">
            <v>31</v>
          </cell>
          <cell r="H180" t="str">
            <v>Spacer Mag. 3 Low Level Eye</v>
          </cell>
          <cell r="I180">
            <v>27</v>
          </cell>
          <cell r="J180" t="str">
            <v>MiscInput</v>
          </cell>
          <cell r="L180" t="str">
            <v>0</v>
          </cell>
          <cell r="M180" t="str">
            <v>152831</v>
          </cell>
          <cell r="N180" t="str">
            <v>SICK</v>
          </cell>
          <cell r="O180" t="str">
            <v>WTB4S-3P2161</v>
          </cell>
          <cell r="P180">
            <v>1042040</v>
          </cell>
          <cell r="Q180" t="str">
            <v>MU02038</v>
          </cell>
          <cell r="AE180">
            <v>1</v>
          </cell>
        </row>
        <row r="181">
          <cell r="A181" t="str">
            <v>PE2832</v>
          </cell>
          <cell r="D181" t="str">
            <v>PE</v>
          </cell>
          <cell r="E181" t="str">
            <v>28</v>
          </cell>
          <cell r="F181" t="str">
            <v>32</v>
          </cell>
          <cell r="H181" t="str">
            <v>Spacer Mag. 3 Low Warning Eye</v>
          </cell>
          <cell r="I181">
            <v>29</v>
          </cell>
          <cell r="J181" t="str">
            <v>MiscInput</v>
          </cell>
          <cell r="L181" t="str">
            <v>0</v>
          </cell>
          <cell r="M181" t="str">
            <v>152832</v>
          </cell>
          <cell r="N181" t="str">
            <v>SICK</v>
          </cell>
          <cell r="O181" t="str">
            <v>WTB4S-3P2161</v>
          </cell>
          <cell r="P181">
            <v>1042040</v>
          </cell>
          <cell r="Q181" t="str">
            <v>MU02038</v>
          </cell>
          <cell r="AA181">
            <v>1</v>
          </cell>
        </row>
        <row r="182">
          <cell r="A182" t="str">
            <v>PX2831</v>
          </cell>
          <cell r="D182" t="str">
            <v>PX</v>
          </cell>
          <cell r="E182" t="str">
            <v>28</v>
          </cell>
          <cell r="F182" t="str">
            <v>31</v>
          </cell>
          <cell r="H182" t="str">
            <v>Spacer Mag. 3 Index Sensor</v>
          </cell>
          <cell r="I182">
            <v>26</v>
          </cell>
          <cell r="J182" t="str">
            <v>MiscInput</v>
          </cell>
          <cell r="L182" t="str">
            <v>0</v>
          </cell>
          <cell r="M182" t="str">
            <v>162831</v>
          </cell>
          <cell r="N182" t="str">
            <v>SICK</v>
          </cell>
          <cell r="O182" t="str">
            <v>IME08-02BPSZT0S</v>
          </cell>
          <cell r="P182">
            <v>1040870</v>
          </cell>
          <cell r="Q182" t="str">
            <v>MU02038</v>
          </cell>
          <cell r="AA182">
            <v>1</v>
          </cell>
        </row>
        <row r="183">
          <cell r="A183" t="str">
            <v>CY2831</v>
          </cell>
          <cell r="D183" t="str">
            <v>CY</v>
          </cell>
          <cell r="E183" t="str">
            <v>28</v>
          </cell>
          <cell r="F183" t="str">
            <v>31</v>
          </cell>
          <cell r="H183" t="str">
            <v>Spacer Mag. 3 Index Cylinder</v>
          </cell>
          <cell r="I183">
            <v>28</v>
          </cell>
          <cell r="J183" t="str">
            <v>Cylinder</v>
          </cell>
          <cell r="L183" t="str">
            <v>0</v>
          </cell>
          <cell r="M183" t="str">
            <v>132831</v>
          </cell>
          <cell r="N183" t="str">
            <v>Festo</v>
          </cell>
          <cell r="O183" t="str">
            <v>dsnu-25-10-p-a</v>
          </cell>
          <cell r="P183" t="str">
            <v>11390-0423</v>
          </cell>
        </row>
        <row r="184">
          <cell r="A184" t="str">
            <v>PE2841</v>
          </cell>
          <cell r="D184" t="str">
            <v>PE</v>
          </cell>
          <cell r="E184" t="str">
            <v>28</v>
          </cell>
          <cell r="F184" t="str">
            <v>41</v>
          </cell>
          <cell r="H184" t="str">
            <v>Spacer Mag. 4 Low Level Eye</v>
          </cell>
          <cell r="I184">
            <v>27</v>
          </cell>
          <cell r="J184" t="str">
            <v>MiscInput</v>
          </cell>
          <cell r="L184" t="str">
            <v>0</v>
          </cell>
          <cell r="M184" t="str">
            <v>152841</v>
          </cell>
          <cell r="N184" t="str">
            <v>SICK</v>
          </cell>
          <cell r="O184" t="str">
            <v>WTB4S-3P2161</v>
          </cell>
          <cell r="P184">
            <v>1042040</v>
          </cell>
          <cell r="Q184" t="str">
            <v>MU02038</v>
          </cell>
          <cell r="AE184">
            <v>1</v>
          </cell>
        </row>
        <row r="185">
          <cell r="A185" t="str">
            <v>PE2842</v>
          </cell>
          <cell r="D185" t="str">
            <v>PE</v>
          </cell>
          <cell r="E185" t="str">
            <v>28</v>
          </cell>
          <cell r="F185" t="str">
            <v>42</v>
          </cell>
          <cell r="H185" t="str">
            <v>Spacer Mag. 4 Low Warning Eye</v>
          </cell>
          <cell r="I185">
            <v>29</v>
          </cell>
          <cell r="J185" t="str">
            <v>MiscInput</v>
          </cell>
          <cell r="L185" t="str">
            <v>0</v>
          </cell>
          <cell r="M185" t="str">
            <v>152842</v>
          </cell>
          <cell r="N185" t="str">
            <v>SICK</v>
          </cell>
          <cell r="O185" t="str">
            <v>WTB4S-3P2161</v>
          </cell>
          <cell r="P185">
            <v>1042040</v>
          </cell>
          <cell r="Q185" t="str">
            <v>MU02038</v>
          </cell>
          <cell r="AA185">
            <v>1</v>
          </cell>
        </row>
        <row r="186">
          <cell r="A186" t="str">
            <v>PX2841</v>
          </cell>
          <cell r="D186" t="str">
            <v>PX</v>
          </cell>
          <cell r="E186" t="str">
            <v>28</v>
          </cell>
          <cell r="F186" t="str">
            <v>41</v>
          </cell>
          <cell r="H186" t="str">
            <v>Spacer Mag. 4 Index Sensor</v>
          </cell>
          <cell r="I186">
            <v>26</v>
          </cell>
          <cell r="J186" t="str">
            <v>MiscInput</v>
          </cell>
          <cell r="L186" t="str">
            <v>0</v>
          </cell>
          <cell r="M186" t="str">
            <v>162841</v>
          </cell>
          <cell r="N186" t="str">
            <v>SICK</v>
          </cell>
          <cell r="O186" t="str">
            <v>IME08-02BPSZT0S</v>
          </cell>
          <cell r="P186">
            <v>1040870</v>
          </cell>
          <cell r="Q186" t="str">
            <v>MU02038</v>
          </cell>
          <cell r="AA186">
            <v>1</v>
          </cell>
        </row>
        <row r="187">
          <cell r="A187" t="str">
            <v>CY2841</v>
          </cell>
          <cell r="D187" t="str">
            <v>CY</v>
          </cell>
          <cell r="E187" t="str">
            <v>28</v>
          </cell>
          <cell r="F187" t="str">
            <v>41</v>
          </cell>
          <cell r="H187" t="str">
            <v>Spacer Mag. 4 Index Cylinder</v>
          </cell>
          <cell r="I187">
            <v>28</v>
          </cell>
          <cell r="J187" t="str">
            <v>Cylinder</v>
          </cell>
          <cell r="L187" t="str">
            <v>0</v>
          </cell>
          <cell r="M187" t="str">
            <v>132841</v>
          </cell>
          <cell r="N187" t="str">
            <v>Festo</v>
          </cell>
          <cell r="O187" t="str">
            <v>dsnu-25-10-p-a</v>
          </cell>
          <cell r="P187" t="str">
            <v>11390-0423</v>
          </cell>
        </row>
        <row r="188">
          <cell r="A188" t="str">
            <v>Bottom Spacer Plucker</v>
          </cell>
          <cell r="I188">
            <v>0</v>
          </cell>
          <cell r="L188">
            <v>0</v>
          </cell>
          <cell r="M188">
            <v>0</v>
          </cell>
        </row>
        <row r="189">
          <cell r="A189" t="str">
            <v>SC2901</v>
          </cell>
          <cell r="D189" t="str">
            <v>SC</v>
          </cell>
          <cell r="E189" t="str">
            <v>29</v>
          </cell>
          <cell r="F189" t="str">
            <v>01</v>
          </cell>
          <cell r="H189" t="str">
            <v>BS Plucker Rotate Axis</v>
          </cell>
          <cell r="I189">
            <v>22</v>
          </cell>
          <cell r="J189" t="str">
            <v>Axis_CIP</v>
          </cell>
          <cell r="L189" t="str">
            <v>0</v>
          </cell>
          <cell r="M189" t="str">
            <v>172901</v>
          </cell>
          <cell r="N189" t="str">
            <v>Allen Bradley</v>
          </cell>
          <cell r="O189" t="str">
            <v>Kinetix 5500</v>
          </cell>
          <cell r="P189" t="str">
            <v>2198-H025-ERS</v>
          </cell>
        </row>
        <row r="190">
          <cell r="A190" t="str">
            <v>MO2901</v>
          </cell>
          <cell r="D190" t="str">
            <v>MO</v>
          </cell>
          <cell r="E190" t="str">
            <v>29</v>
          </cell>
          <cell r="F190" t="str">
            <v>01</v>
          </cell>
          <cell r="H190" t="str">
            <v>BS Plucker Rotate Motor</v>
          </cell>
          <cell r="I190">
            <v>23</v>
          </cell>
          <cell r="L190">
            <v>0</v>
          </cell>
          <cell r="M190">
            <v>0</v>
          </cell>
          <cell r="N190" t="str">
            <v>Allen Bradley</v>
          </cell>
          <cell r="O190" t="str">
            <v>VPL - Low Inertia Motor</v>
          </cell>
          <cell r="P190" t="str">
            <v>VPL-B1003T-PJ14AA</v>
          </cell>
          <cell r="Q190" t="str">
            <v>2090-CSBM1DF-14AA09</v>
          </cell>
        </row>
        <row r="191">
          <cell r="A191" t="str">
            <v>PX2901</v>
          </cell>
          <cell r="D191" t="str">
            <v>PX</v>
          </cell>
          <cell r="E191" t="str">
            <v>29</v>
          </cell>
          <cell r="F191" t="str">
            <v>01</v>
          </cell>
          <cell r="H191" t="str">
            <v>BS Plucker Rotate Ref Sensor</v>
          </cell>
          <cell r="I191">
            <v>28</v>
          </cell>
          <cell r="J191" t="str">
            <v>MiscInput</v>
          </cell>
          <cell r="L191" t="str">
            <v>0</v>
          </cell>
          <cell r="M191" t="str">
            <v>162901</v>
          </cell>
          <cell r="N191" t="str">
            <v>SICK</v>
          </cell>
          <cell r="O191" t="str">
            <v>IME18-08BPSZC0S</v>
          </cell>
          <cell r="P191">
            <v>1040966</v>
          </cell>
          <cell r="Q191" t="str">
            <v>MU01733</v>
          </cell>
          <cell r="AC191">
            <v>1</v>
          </cell>
        </row>
        <row r="192">
          <cell r="A192" t="str">
            <v>SC2902</v>
          </cell>
          <cell r="D192" t="str">
            <v>SC</v>
          </cell>
          <cell r="E192" t="str">
            <v>29</v>
          </cell>
          <cell r="F192" t="str">
            <v>02</v>
          </cell>
          <cell r="H192" t="str">
            <v>BS Plucker Extend Axis</v>
          </cell>
          <cell r="I192">
            <v>22</v>
          </cell>
          <cell r="J192" t="str">
            <v>Axis_CIP</v>
          </cell>
          <cell r="L192" t="str">
            <v>0</v>
          </cell>
          <cell r="M192" t="str">
            <v>172902</v>
          </cell>
          <cell r="N192" t="str">
            <v>Allen Bradley</v>
          </cell>
          <cell r="O192" t="str">
            <v>Kinetix 5500</v>
          </cell>
          <cell r="P192" t="str">
            <v>2198-H008-ERS</v>
          </cell>
        </row>
        <row r="193">
          <cell r="A193" t="str">
            <v>MO2902</v>
          </cell>
          <cell r="D193" t="str">
            <v>MO</v>
          </cell>
          <cell r="E193" t="str">
            <v>29</v>
          </cell>
          <cell r="F193" t="str">
            <v>02</v>
          </cell>
          <cell r="H193" t="str">
            <v>BS Plucker Extend Motor</v>
          </cell>
          <cell r="I193">
            <v>23</v>
          </cell>
          <cell r="L193">
            <v>0</v>
          </cell>
          <cell r="M193">
            <v>0</v>
          </cell>
          <cell r="N193" t="str">
            <v>Allen Bradley</v>
          </cell>
          <cell r="O193" t="str">
            <v>VPL - Low Inertia Motor</v>
          </cell>
          <cell r="P193" t="str">
            <v>VPL-B0633M-PK14AA</v>
          </cell>
          <cell r="Q193" t="str">
            <v>2090-CSBM1DF-18AF09</v>
          </cell>
        </row>
        <row r="194">
          <cell r="A194" t="str">
            <v>PX2902</v>
          </cell>
          <cell r="D194" t="str">
            <v>PX</v>
          </cell>
          <cell r="E194" t="str">
            <v>29</v>
          </cell>
          <cell r="F194" t="str">
            <v>02</v>
          </cell>
          <cell r="H194" t="str">
            <v>BS Plucker Extend Ref Sensor</v>
          </cell>
          <cell r="I194">
            <v>28</v>
          </cell>
          <cell r="J194" t="str">
            <v>MiscInput</v>
          </cell>
          <cell r="L194" t="str">
            <v>0</v>
          </cell>
          <cell r="M194" t="str">
            <v>162902</v>
          </cell>
          <cell r="N194" t="str">
            <v>SICK</v>
          </cell>
          <cell r="O194" t="str">
            <v>IME08-02BPSZT0S</v>
          </cell>
          <cell r="P194">
            <v>1040870</v>
          </cell>
          <cell r="Q194" t="str">
            <v>MU02038</v>
          </cell>
          <cell r="AC194">
            <v>1</v>
          </cell>
        </row>
        <row r="195">
          <cell r="A195" t="str">
            <v>SV2901</v>
          </cell>
          <cell r="D195" t="str">
            <v>SV</v>
          </cell>
          <cell r="E195" t="str">
            <v>29</v>
          </cell>
          <cell r="F195" t="str">
            <v>01</v>
          </cell>
          <cell r="H195" t="str">
            <v>BS Plucker Vacuum 1</v>
          </cell>
          <cell r="I195">
            <v>19</v>
          </cell>
          <cell r="J195" t="str">
            <v>MiscOutput</v>
          </cell>
          <cell r="L195" t="str">
            <v>0</v>
          </cell>
          <cell r="M195" t="str">
            <v>142901</v>
          </cell>
          <cell r="N195" t="str">
            <v>Festo</v>
          </cell>
        </row>
        <row r="196">
          <cell r="A196" t="str">
            <v>SV2902</v>
          </cell>
          <cell r="D196" t="str">
            <v>SV</v>
          </cell>
          <cell r="E196" t="str">
            <v>29</v>
          </cell>
          <cell r="F196" t="str">
            <v>02</v>
          </cell>
          <cell r="H196" t="str">
            <v>BS Plucker Vacuum 2</v>
          </cell>
          <cell r="I196">
            <v>19</v>
          </cell>
          <cell r="J196" t="str">
            <v>MiscOutput</v>
          </cell>
          <cell r="L196" t="str">
            <v>0</v>
          </cell>
          <cell r="M196" t="str">
            <v>142902</v>
          </cell>
          <cell r="N196" t="str">
            <v>Festo</v>
          </cell>
        </row>
        <row r="197">
          <cell r="A197" t="str">
            <v>Top Spacer Plucker</v>
          </cell>
          <cell r="I197">
            <v>0</v>
          </cell>
          <cell r="L197">
            <v>0</v>
          </cell>
          <cell r="M197">
            <v>0</v>
          </cell>
        </row>
        <row r="198">
          <cell r="A198" t="str">
            <v>SC3001</v>
          </cell>
          <cell r="D198" t="str">
            <v>SC</v>
          </cell>
          <cell r="E198" t="str">
            <v>30</v>
          </cell>
          <cell r="F198" t="str">
            <v>01</v>
          </cell>
          <cell r="H198" t="str">
            <v>TS Plucker Axis</v>
          </cell>
          <cell r="I198">
            <v>15</v>
          </cell>
          <cell r="J198" t="str">
            <v>Axis_CIP</v>
          </cell>
          <cell r="L198" t="str">
            <v>0</v>
          </cell>
          <cell r="M198" t="str">
            <v>173001</v>
          </cell>
          <cell r="N198" t="str">
            <v>Allen Bradley</v>
          </cell>
          <cell r="O198" t="str">
            <v>Kinetix 5500</v>
          </cell>
          <cell r="P198" t="str">
            <v>2198-H015-ERS</v>
          </cell>
        </row>
        <row r="199">
          <cell r="A199" t="str">
            <v>MO3001</v>
          </cell>
          <cell r="D199" t="str">
            <v>MO</v>
          </cell>
          <cell r="E199" t="str">
            <v>30</v>
          </cell>
          <cell r="F199" t="str">
            <v>01</v>
          </cell>
          <cell r="H199" t="str">
            <v>TS Plucker Motor</v>
          </cell>
          <cell r="I199">
            <v>16</v>
          </cell>
          <cell r="L199">
            <v>0</v>
          </cell>
          <cell r="M199">
            <v>0</v>
          </cell>
          <cell r="N199" t="str">
            <v>Allen Bradley</v>
          </cell>
          <cell r="O199" t="str">
            <v>VPL - Low Inertia Motor</v>
          </cell>
          <cell r="P199" t="str">
            <v>VPL-B0753M-PJ14AA</v>
          </cell>
          <cell r="Q199" t="str">
            <v>2090-CSBM1DF-18AA09</v>
          </cell>
        </row>
        <row r="200">
          <cell r="A200" t="str">
            <v>PX3001</v>
          </cell>
          <cell r="D200" t="str">
            <v>PX</v>
          </cell>
          <cell r="E200" t="str">
            <v>30</v>
          </cell>
          <cell r="F200" t="str">
            <v>01</v>
          </cell>
          <cell r="H200" t="str">
            <v>TS Plucker Ref Sensor</v>
          </cell>
          <cell r="I200">
            <v>21</v>
          </cell>
          <cell r="J200" t="str">
            <v>MiscInput</v>
          </cell>
          <cell r="L200" t="str">
            <v>0</v>
          </cell>
          <cell r="M200" t="str">
            <v>163001</v>
          </cell>
          <cell r="N200" t="str">
            <v>SICK</v>
          </cell>
          <cell r="O200" t="str">
            <v>IME18-08BPSZC0S</v>
          </cell>
          <cell r="P200">
            <v>1040966</v>
          </cell>
          <cell r="Q200" t="str">
            <v>MU01733</v>
          </cell>
          <cell r="AC200">
            <v>1</v>
          </cell>
        </row>
        <row r="201">
          <cell r="A201" t="str">
            <v>SV3001</v>
          </cell>
          <cell r="D201" t="str">
            <v>SV</v>
          </cell>
          <cell r="E201" t="str">
            <v>30</v>
          </cell>
          <cell r="F201" t="str">
            <v>01</v>
          </cell>
          <cell r="H201" t="str">
            <v>TS Plucker Vacuum 1</v>
          </cell>
          <cell r="I201">
            <v>19</v>
          </cell>
          <cell r="J201" t="str">
            <v>MiscOutput</v>
          </cell>
          <cell r="L201" t="str">
            <v>0</v>
          </cell>
          <cell r="M201" t="str">
            <v>143001</v>
          </cell>
          <cell r="N201" t="str">
            <v>Festo</v>
          </cell>
        </row>
        <row r="202">
          <cell r="A202" t="str">
            <v>SV3002</v>
          </cell>
          <cell r="D202" t="str">
            <v>SV</v>
          </cell>
          <cell r="E202" t="str">
            <v>30</v>
          </cell>
          <cell r="F202" t="str">
            <v>02</v>
          </cell>
          <cell r="H202" t="str">
            <v>TS Plucker Vacuum 2</v>
          </cell>
          <cell r="I202">
            <v>19</v>
          </cell>
          <cell r="J202" t="str">
            <v>MiscOutput</v>
          </cell>
          <cell r="L202" t="str">
            <v>0</v>
          </cell>
          <cell r="M202" t="str">
            <v>143002</v>
          </cell>
          <cell r="N202" t="str">
            <v>Festo</v>
          </cell>
        </row>
        <row r="203">
          <cell r="A203" t="str">
            <v>CY3001</v>
          </cell>
          <cell r="D203" t="str">
            <v>CY</v>
          </cell>
          <cell r="E203" t="str">
            <v>30</v>
          </cell>
          <cell r="F203" t="str">
            <v>01</v>
          </cell>
          <cell r="H203" t="str">
            <v>Top Plucker Cylinder</v>
          </cell>
          <cell r="I203">
            <v>20</v>
          </cell>
          <cell r="J203" t="str">
            <v>Cylinder</v>
          </cell>
          <cell r="L203" t="str">
            <v>0</v>
          </cell>
          <cell r="M203" t="str">
            <v>133001</v>
          </cell>
          <cell r="N203" t="str">
            <v>Festo</v>
          </cell>
          <cell r="O203" t="str">
            <v>DNCB-32-80-ppv-a</v>
          </cell>
          <cell r="P203" t="str">
            <v>11390-0413</v>
          </cell>
        </row>
        <row r="204">
          <cell r="A204" t="str">
            <v>CY3002</v>
          </cell>
          <cell r="D204" t="str">
            <v>CY</v>
          </cell>
          <cell r="E204" t="str">
            <v>30</v>
          </cell>
          <cell r="F204" t="str">
            <v>02</v>
          </cell>
          <cell r="H204" t="str">
            <v>Plucker Punch Cylinder</v>
          </cell>
          <cell r="I204">
            <v>22</v>
          </cell>
          <cell r="J204" t="str">
            <v>Cylinder</v>
          </cell>
          <cell r="L204" t="str">
            <v>0</v>
          </cell>
          <cell r="M204" t="str">
            <v>133002</v>
          </cell>
          <cell r="N204" t="str">
            <v>Festo</v>
          </cell>
          <cell r="O204" t="str">
            <v>ADN-16-15-a-p-a</v>
          </cell>
          <cell r="P204" t="str">
            <v>11390-0412</v>
          </cell>
        </row>
        <row r="205">
          <cell r="A205" t="str">
            <v>Top Flap Tuck</v>
          </cell>
          <cell r="I205">
            <v>0</v>
          </cell>
          <cell r="L205">
            <v>0</v>
          </cell>
          <cell r="M205">
            <v>0</v>
          </cell>
        </row>
        <row r="206">
          <cell r="A206" t="str">
            <v>CY3101</v>
          </cell>
          <cell r="D206" t="str">
            <v>CY</v>
          </cell>
          <cell r="E206" t="str">
            <v>31</v>
          </cell>
          <cell r="F206" t="str">
            <v>01</v>
          </cell>
          <cell r="H206" t="str">
            <v>Top Flap Front Major Fold Cyl</v>
          </cell>
          <cell r="I206">
            <v>29</v>
          </cell>
          <cell r="J206" t="str">
            <v>Cylinder</v>
          </cell>
          <cell r="L206" t="str">
            <v>0</v>
          </cell>
          <cell r="M206" t="str">
            <v>133101</v>
          </cell>
          <cell r="N206" t="str">
            <v>Festo</v>
          </cell>
          <cell r="O206" t="str">
            <v>dfm-32-70-b-ppv-a-gf</v>
          </cell>
          <cell r="P206" t="str">
            <v>11390-0416</v>
          </cell>
        </row>
        <row r="207">
          <cell r="A207" t="str">
            <v>CY3102</v>
          </cell>
          <cell r="D207" t="str">
            <v>CY</v>
          </cell>
          <cell r="E207" t="str">
            <v>31</v>
          </cell>
          <cell r="F207" t="str">
            <v>02</v>
          </cell>
          <cell r="H207" t="str">
            <v>Top Flap Rear Major Fold Cyl</v>
          </cell>
          <cell r="I207">
            <v>28</v>
          </cell>
          <cell r="J207" t="str">
            <v>Cylinder</v>
          </cell>
          <cell r="L207" t="str">
            <v>0</v>
          </cell>
          <cell r="M207" t="str">
            <v>133102</v>
          </cell>
          <cell r="N207" t="str">
            <v>Festo</v>
          </cell>
          <cell r="O207" t="str">
            <v>dfm-32-70-b-ppv-a-gf</v>
          </cell>
          <cell r="P207" t="str">
            <v>11390-0416</v>
          </cell>
        </row>
        <row r="208">
          <cell r="A208" t="str">
            <v>CY3103</v>
          </cell>
          <cell r="D208" t="str">
            <v>CY</v>
          </cell>
          <cell r="E208" t="str">
            <v>31</v>
          </cell>
          <cell r="F208" t="str">
            <v>03</v>
          </cell>
          <cell r="H208" t="str">
            <v>Top Flap Lid Tab Fold Cyl</v>
          </cell>
          <cell r="I208">
            <v>25</v>
          </cell>
          <cell r="J208" t="str">
            <v>Cylinder</v>
          </cell>
          <cell r="L208" t="str">
            <v>0</v>
          </cell>
          <cell r="M208" t="str">
            <v>133103</v>
          </cell>
          <cell r="N208" t="str">
            <v>Festo</v>
          </cell>
          <cell r="O208" t="str">
            <v>dfm-32-70-b-ppv-a-gf</v>
          </cell>
          <cell r="P208" t="str">
            <v>11390-0416</v>
          </cell>
        </row>
        <row r="209">
          <cell r="A209" t="str">
            <v>CY3104</v>
          </cell>
          <cell r="D209" t="str">
            <v>CY</v>
          </cell>
          <cell r="E209" t="str">
            <v>31</v>
          </cell>
          <cell r="F209" t="str">
            <v>04</v>
          </cell>
          <cell r="H209" t="str">
            <v>Top Flap Close Cylinder</v>
          </cell>
          <cell r="I209">
            <v>23</v>
          </cell>
          <cell r="J209" t="str">
            <v>Cylinder</v>
          </cell>
          <cell r="L209" t="str">
            <v>0</v>
          </cell>
          <cell r="M209" t="str">
            <v>133104</v>
          </cell>
          <cell r="N209" t="str">
            <v>Festo</v>
          </cell>
          <cell r="O209" t="str">
            <v>dfm-32-70-b-ppv-a-gf</v>
          </cell>
          <cell r="P209" t="str">
            <v>11390-0416</v>
          </cell>
          <cell r="AA209">
            <v>2</v>
          </cell>
        </row>
        <row r="210">
          <cell r="A210" t="str">
            <v>Ejector</v>
          </cell>
          <cell r="I210">
            <v>0</v>
          </cell>
          <cell r="L210">
            <v>0</v>
          </cell>
          <cell r="M210">
            <v>0</v>
          </cell>
        </row>
        <row r="211">
          <cell r="A211" t="str">
            <v>CY3201</v>
          </cell>
          <cell r="D211" t="str">
            <v>CY</v>
          </cell>
          <cell r="E211" t="str">
            <v>32</v>
          </cell>
          <cell r="F211" t="str">
            <v>01</v>
          </cell>
          <cell r="H211" t="str">
            <v>Ejector Cylinder</v>
          </cell>
          <cell r="I211">
            <v>16</v>
          </cell>
          <cell r="J211" t="str">
            <v>Cylinder</v>
          </cell>
          <cell r="L211" t="str">
            <v>0</v>
          </cell>
          <cell r="M211" t="str">
            <v>133201</v>
          </cell>
          <cell r="N211" t="str">
            <v>Festo</v>
          </cell>
          <cell r="O211" t="str">
            <v>dnc-50-125-ppv-a</v>
          </cell>
          <cell r="P211" t="str">
            <v>11390-0407</v>
          </cell>
          <cell r="AA211">
            <v>2</v>
          </cell>
        </row>
        <row r="212">
          <cell r="A212" t="str">
            <v>Outfeed Conveyor</v>
          </cell>
          <cell r="I212">
            <v>0</v>
          </cell>
          <cell r="L212">
            <v>0</v>
          </cell>
          <cell r="M212">
            <v>0</v>
          </cell>
        </row>
        <row r="213">
          <cell r="A213" t="str">
            <v>SC3301</v>
          </cell>
          <cell r="D213" t="str">
            <v>SC</v>
          </cell>
          <cell r="E213" t="str">
            <v>33</v>
          </cell>
          <cell r="F213" t="str">
            <v>01</v>
          </cell>
          <cell r="H213" t="str">
            <v>Outfeed Conveyor VSD</v>
          </cell>
          <cell r="I213">
            <v>20</v>
          </cell>
          <cell r="L213">
            <v>0</v>
          </cell>
          <cell r="M213">
            <v>0</v>
          </cell>
          <cell r="N213" t="str">
            <v>Allen Bradley</v>
          </cell>
          <cell r="O213" t="str">
            <v>PowerFlex 4M</v>
          </cell>
        </row>
        <row r="214">
          <cell r="A214" t="str">
            <v>MO3301</v>
          </cell>
          <cell r="D214" t="str">
            <v>MO</v>
          </cell>
          <cell r="E214" t="str">
            <v>33</v>
          </cell>
          <cell r="F214" t="str">
            <v>01</v>
          </cell>
          <cell r="H214" t="str">
            <v>Outfeed Conveyor</v>
          </cell>
          <cell r="I214">
            <v>16</v>
          </cell>
          <cell r="J214" t="str">
            <v>Motor</v>
          </cell>
          <cell r="L214" t="str">
            <v>0</v>
          </cell>
          <cell r="M214" t="str">
            <v>183301</v>
          </cell>
          <cell r="N214" t="str">
            <v>SEW</v>
          </cell>
        </row>
        <row r="215">
          <cell r="A215" t="str">
            <v>PE3301</v>
          </cell>
          <cell r="D215" t="str">
            <v>PE</v>
          </cell>
          <cell r="E215" t="str">
            <v>33</v>
          </cell>
          <cell r="F215" t="str">
            <v>01</v>
          </cell>
          <cell r="H215" t="str">
            <v>Ejector Station Clear Eye</v>
          </cell>
          <cell r="I215">
            <v>25</v>
          </cell>
          <cell r="J215" t="str">
            <v>MiscInput</v>
          </cell>
          <cell r="L215" t="str">
            <v>0</v>
          </cell>
          <cell r="M215" t="str">
            <v>153301</v>
          </cell>
          <cell r="N215" t="str">
            <v>SICK</v>
          </cell>
          <cell r="O215" t="str">
            <v xml:space="preserve">DT50-P1113 </v>
          </cell>
          <cell r="P215">
            <v>1044369</v>
          </cell>
          <cell r="Q215" t="str">
            <v>MU02028</v>
          </cell>
          <cell r="AA215">
            <v>1</v>
          </cell>
        </row>
        <row r="216">
          <cell r="A216" t="str">
            <v>PE3302</v>
          </cell>
          <cell r="D216" t="str">
            <v>PE</v>
          </cell>
          <cell r="E216" t="str">
            <v>33</v>
          </cell>
          <cell r="F216" t="str">
            <v>02</v>
          </cell>
          <cell r="H216" t="str">
            <v>Reject Station Eye</v>
          </cell>
          <cell r="I216">
            <v>18</v>
          </cell>
          <cell r="J216" t="str">
            <v>MiscInput</v>
          </cell>
          <cell r="L216" t="str">
            <v>0</v>
          </cell>
          <cell r="M216" t="str">
            <v>153302</v>
          </cell>
          <cell r="N216" t="str">
            <v>SICK</v>
          </cell>
          <cell r="O216" t="str">
            <v>WTB4S-3P2161</v>
          </cell>
          <cell r="P216">
            <v>1042040</v>
          </cell>
          <cell r="Q216" t="str">
            <v>MU02038</v>
          </cell>
          <cell r="AA216">
            <v>1</v>
          </cell>
        </row>
        <row r="217">
          <cell r="A217" t="str">
            <v>PE3303</v>
          </cell>
          <cell r="D217" t="str">
            <v>PE</v>
          </cell>
          <cell r="E217" t="str">
            <v>33</v>
          </cell>
          <cell r="F217" t="str">
            <v>03</v>
          </cell>
          <cell r="H217" t="str">
            <v>Reject Station Conveyor Full</v>
          </cell>
          <cell r="I217">
            <v>28</v>
          </cell>
          <cell r="J217" t="str">
            <v>MiscInput</v>
          </cell>
          <cell r="L217" t="str">
            <v>0</v>
          </cell>
          <cell r="M217" t="str">
            <v>153303</v>
          </cell>
          <cell r="N217" t="str">
            <v>SICK</v>
          </cell>
          <cell r="O217" t="str">
            <v>WTB4S-3P2161</v>
          </cell>
          <cell r="P217">
            <v>1042040</v>
          </cell>
          <cell r="Q217" t="str">
            <v>MU02038</v>
          </cell>
          <cell r="AA217">
            <v>1</v>
          </cell>
        </row>
        <row r="218">
          <cell r="A218" t="str">
            <v>CY3301</v>
          </cell>
          <cell r="D218" t="str">
            <v>CY</v>
          </cell>
          <cell r="E218" t="str">
            <v>33</v>
          </cell>
          <cell r="F218" t="str">
            <v>01</v>
          </cell>
          <cell r="H218" t="str">
            <v>Reject Gate Cylinder</v>
          </cell>
          <cell r="I218">
            <v>20</v>
          </cell>
          <cell r="J218" t="str">
            <v>Cylinder</v>
          </cell>
          <cell r="L218" t="str">
            <v>0</v>
          </cell>
          <cell r="M218" t="str">
            <v>133301</v>
          </cell>
          <cell r="N218" t="str">
            <v>Festo</v>
          </cell>
          <cell r="O218" t="str">
            <v>dsnu-25-30-ppv-a</v>
          </cell>
          <cell r="P218" t="str">
            <v>11390-0406</v>
          </cell>
        </row>
        <row r="219">
          <cell r="A219" t="str">
            <v>CY3302</v>
          </cell>
          <cell r="D219" t="str">
            <v>CY</v>
          </cell>
          <cell r="E219" t="str">
            <v>33</v>
          </cell>
          <cell r="F219" t="str">
            <v>02</v>
          </cell>
          <cell r="H219" t="str">
            <v>Reject Cylinder</v>
          </cell>
          <cell r="I219">
            <v>15</v>
          </cell>
          <cell r="J219" t="str">
            <v>Cylinder</v>
          </cell>
          <cell r="L219" t="str">
            <v>0</v>
          </cell>
          <cell r="M219" t="str">
            <v>133302</v>
          </cell>
          <cell r="N219" t="str">
            <v>Festo</v>
          </cell>
          <cell r="O219" t="str">
            <v>dsnu-32-100-ppv-a</v>
          </cell>
          <cell r="P219" t="str">
            <v>11390-0405</v>
          </cell>
          <cell r="AA219">
            <v>2</v>
          </cell>
        </row>
        <row r="220">
          <cell r="A220" t="str">
            <v>Bottom Flap Folding</v>
          </cell>
          <cell r="I220">
            <v>0</v>
          </cell>
          <cell r="L220">
            <v>0</v>
          </cell>
          <cell r="M220">
            <v>0</v>
          </cell>
        </row>
        <row r="221">
          <cell r="A221" t="str">
            <v>SC3401</v>
          </cell>
          <cell r="D221" t="str">
            <v>SC</v>
          </cell>
          <cell r="E221" t="str">
            <v>34</v>
          </cell>
          <cell r="F221" t="str">
            <v>01</v>
          </cell>
          <cell r="H221" t="str">
            <v>Bottom Flap Close Axis</v>
          </cell>
          <cell r="I221">
            <v>22</v>
          </cell>
          <cell r="J221" t="str">
            <v>Axis_CIP</v>
          </cell>
          <cell r="L221" t="str">
            <v>0</v>
          </cell>
          <cell r="M221" t="str">
            <v>173401</v>
          </cell>
          <cell r="N221" t="str">
            <v>Allen Bradley</v>
          </cell>
          <cell r="O221" t="str">
            <v>Kinetix 5500</v>
          </cell>
          <cell r="P221" t="str">
            <v>2198-H008-ERS</v>
          </cell>
        </row>
        <row r="222">
          <cell r="A222" t="str">
            <v>MO3401</v>
          </cell>
          <cell r="D222" t="str">
            <v>MO</v>
          </cell>
          <cell r="E222" t="str">
            <v>34</v>
          </cell>
          <cell r="F222" t="str">
            <v>01</v>
          </cell>
          <cell r="H222" t="str">
            <v>Bottom Flap Close Motor</v>
          </cell>
          <cell r="I222">
            <v>23</v>
          </cell>
          <cell r="L222">
            <v>0</v>
          </cell>
          <cell r="M222">
            <v>0</v>
          </cell>
          <cell r="N222" t="str">
            <v>Allen Bradley</v>
          </cell>
          <cell r="O222" t="str">
            <v>VPL - Low Inertia Motor</v>
          </cell>
          <cell r="P222" t="str">
            <v>VPL-B0633M-PJ12AA</v>
          </cell>
          <cell r="Q222" t="str">
            <v>2090-CSWM1DF-18AA09</v>
          </cell>
        </row>
        <row r="223">
          <cell r="A223" t="str">
            <v>PX3401</v>
          </cell>
          <cell r="D223" t="str">
            <v>PX</v>
          </cell>
          <cell r="E223" t="str">
            <v>34</v>
          </cell>
          <cell r="F223" t="str">
            <v>01</v>
          </cell>
          <cell r="H223" t="str">
            <v>Bottom Flap Close Ref Sensor</v>
          </cell>
          <cell r="I223">
            <v>28</v>
          </cell>
          <cell r="J223" t="str">
            <v>MiscInput</v>
          </cell>
          <cell r="L223" t="str">
            <v>0</v>
          </cell>
          <cell r="M223" t="str">
            <v>163401</v>
          </cell>
          <cell r="N223" t="str">
            <v>SICK</v>
          </cell>
          <cell r="O223" t="str">
            <v>IME18-08BPSZC0S</v>
          </cell>
          <cell r="P223">
            <v>1040966</v>
          </cell>
          <cell r="Q223" t="str">
            <v>MU01733</v>
          </cell>
          <cell r="AC223">
            <v>1</v>
          </cell>
        </row>
        <row r="224">
          <cell r="A224" t="str">
            <v>Top Flap Minors</v>
          </cell>
          <cell r="I224">
            <v>0</v>
          </cell>
          <cell r="L224">
            <v>0</v>
          </cell>
          <cell r="M224">
            <v>0</v>
          </cell>
        </row>
        <row r="225">
          <cell r="A225" t="str">
            <v>CY3501</v>
          </cell>
          <cell r="D225" t="str">
            <v>CY</v>
          </cell>
          <cell r="E225" t="str">
            <v>35</v>
          </cell>
          <cell r="F225" t="str">
            <v>01</v>
          </cell>
          <cell r="H225" t="str">
            <v>Top Flap Minor Fold Cyl</v>
          </cell>
          <cell r="I225">
            <v>23</v>
          </cell>
          <cell r="J225" t="str">
            <v>Cylinder</v>
          </cell>
          <cell r="L225" t="str">
            <v>0</v>
          </cell>
          <cell r="M225" t="str">
            <v>133501</v>
          </cell>
          <cell r="N225" t="str">
            <v>Festo</v>
          </cell>
          <cell r="O225" t="str">
            <v>dsnu-20-50-ppv-a</v>
          </cell>
          <cell r="P225" t="str">
            <v>11390-0404</v>
          </cell>
        </row>
        <row r="226">
          <cell r="A226" t="str">
            <v>CY3502</v>
          </cell>
          <cell r="D226" t="str">
            <v>CY</v>
          </cell>
          <cell r="E226" t="str">
            <v>35</v>
          </cell>
          <cell r="F226" t="str">
            <v>02</v>
          </cell>
          <cell r="H226" t="str">
            <v>Top Flap Compression Cylinder</v>
          </cell>
          <cell r="I226">
            <v>29</v>
          </cell>
          <cell r="J226" t="str">
            <v>Cylinder</v>
          </cell>
          <cell r="L226" t="str">
            <v>0</v>
          </cell>
          <cell r="M226" t="str">
            <v>133502</v>
          </cell>
          <cell r="N226" t="str">
            <v>Festo</v>
          </cell>
          <cell r="O226" t="str">
            <v>dfm-32-70-b-ppv-a-gf</v>
          </cell>
          <cell r="P226" t="str">
            <v>11390-0403</v>
          </cell>
        </row>
        <row r="227">
          <cell r="A227" t="str">
            <v>Pick Head</v>
          </cell>
        </row>
        <row r="228">
          <cell r="A228" t="str">
            <v>CY3601</v>
          </cell>
          <cell r="D228" t="str">
            <v>CY</v>
          </cell>
          <cell r="E228" t="str">
            <v>36</v>
          </cell>
          <cell r="F228" t="str">
            <v>01</v>
          </cell>
          <cell r="H228" t="str">
            <v>Pick Head End Clamp Cylinder</v>
          </cell>
          <cell r="I228">
            <v>28</v>
          </cell>
          <cell r="J228" t="str">
            <v>Cylinder</v>
          </cell>
          <cell r="L228" t="str">
            <v>0</v>
          </cell>
          <cell r="M228" t="str">
            <v>133601</v>
          </cell>
          <cell r="N228" t="str">
            <v>Festo</v>
          </cell>
          <cell r="O228" t="str">
            <v>dsnu-20-80-ppv-a</v>
          </cell>
          <cell r="P228" t="str">
            <v>11390-0411</v>
          </cell>
        </row>
        <row r="229">
          <cell r="A229" t="str">
            <v>CY3602</v>
          </cell>
          <cell r="D229" t="str">
            <v>CY</v>
          </cell>
          <cell r="E229" t="str">
            <v>36</v>
          </cell>
          <cell r="F229" t="str">
            <v>02</v>
          </cell>
          <cell r="H229" t="str">
            <v>Pick Head Side Clamp Cylinder</v>
          </cell>
          <cell r="I229">
            <v>29</v>
          </cell>
          <cell r="J229" t="str">
            <v>Cylinder</v>
          </cell>
          <cell r="L229" t="str">
            <v>0</v>
          </cell>
          <cell r="M229" t="str">
            <v>133602</v>
          </cell>
          <cell r="N229" t="str">
            <v>Festo</v>
          </cell>
          <cell r="O229" t="str">
            <v>DSNU-20-10-pps-a</v>
          </cell>
          <cell r="P229" t="str">
            <v>11390-0410</v>
          </cell>
        </row>
        <row r="232">
          <cell r="S232">
            <v>0</v>
          </cell>
          <cell r="T232">
            <v>8</v>
          </cell>
          <cell r="U232">
            <v>15</v>
          </cell>
          <cell r="X232">
            <v>0</v>
          </cell>
          <cell r="Y232">
            <v>0</v>
          </cell>
          <cell r="Z232">
            <v>0</v>
          </cell>
          <cell r="AA232">
            <v>53</v>
          </cell>
          <cell r="AB232">
            <v>0</v>
          </cell>
          <cell r="AC232">
            <v>11</v>
          </cell>
          <cell r="AD232">
            <v>7</v>
          </cell>
          <cell r="AE232">
            <v>38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6">
          <cell r="A6" t="str">
            <v>MCP</v>
          </cell>
          <cell r="B6" t="str">
            <v>Mechanical Change Part or Point</v>
          </cell>
          <cell r="C6">
            <v>10</v>
          </cell>
        </row>
        <row r="7">
          <cell r="A7" t="str">
            <v>ES</v>
          </cell>
          <cell r="B7" t="str">
            <v>Emergency Stop</v>
          </cell>
          <cell r="C7">
            <v>11</v>
          </cell>
        </row>
        <row r="8">
          <cell r="A8" t="str">
            <v>GZ</v>
          </cell>
          <cell r="B8" t="str">
            <v>Door Switches, Light Curtains, General Safety Devices</v>
          </cell>
          <cell r="C8">
            <v>12</v>
          </cell>
        </row>
        <row r="9">
          <cell r="A9" t="str">
            <v>CY</v>
          </cell>
          <cell r="B9" t="str">
            <v>Cylinder</v>
          </cell>
          <cell r="C9">
            <v>13</v>
          </cell>
        </row>
        <row r="10">
          <cell r="A10" t="str">
            <v>SV</v>
          </cell>
          <cell r="B10" t="str">
            <v>Solenoid Valve</v>
          </cell>
          <cell r="C10">
            <v>14</v>
          </cell>
        </row>
        <row r="11">
          <cell r="A11" t="str">
            <v>PE</v>
          </cell>
          <cell r="B11" t="str">
            <v>Photoeye</v>
          </cell>
          <cell r="C11">
            <v>15</v>
          </cell>
        </row>
        <row r="12">
          <cell r="A12" t="str">
            <v>PX</v>
          </cell>
          <cell r="B12" t="str">
            <v>Proximity</v>
          </cell>
          <cell r="C12">
            <v>16</v>
          </cell>
        </row>
        <row r="13">
          <cell r="A13" t="str">
            <v>SC</v>
          </cell>
          <cell r="B13" t="str">
            <v>VFD, Servo Drives</v>
          </cell>
          <cell r="C13">
            <v>17</v>
          </cell>
        </row>
        <row r="14">
          <cell r="A14" t="str">
            <v>MO</v>
          </cell>
          <cell r="B14" t="str">
            <v>Motor Output</v>
          </cell>
          <cell r="C14">
            <v>18</v>
          </cell>
        </row>
        <row r="15">
          <cell r="A15" t="str">
            <v>PB</v>
          </cell>
          <cell r="B15" t="str">
            <v>Pushbutton</v>
          </cell>
          <cell r="C15">
            <v>19</v>
          </cell>
        </row>
        <row r="16">
          <cell r="A16" t="str">
            <v>DI</v>
          </cell>
          <cell r="B16" t="str">
            <v>Digital Input</v>
          </cell>
          <cell r="C16">
            <v>20</v>
          </cell>
        </row>
        <row r="17">
          <cell r="A17" t="str">
            <v>DO</v>
          </cell>
          <cell r="B17" t="str">
            <v>Digital Output</v>
          </cell>
          <cell r="C17">
            <v>21</v>
          </cell>
        </row>
        <row r="18">
          <cell r="A18" t="str">
            <v>IL</v>
          </cell>
          <cell r="B18" t="str">
            <v>Indication Lamp</v>
          </cell>
          <cell r="C18">
            <v>22</v>
          </cell>
        </row>
        <row r="19">
          <cell r="A19" t="str">
            <v>GT</v>
          </cell>
          <cell r="B19" t="str">
            <v>Encoder</v>
          </cell>
          <cell r="C19">
            <v>23</v>
          </cell>
        </row>
        <row r="20">
          <cell r="A20" t="str">
            <v>K</v>
          </cell>
          <cell r="B20" t="str">
            <v>Contactor Coil</v>
          </cell>
          <cell r="C20">
            <v>24</v>
          </cell>
        </row>
        <row r="21">
          <cell r="A21" t="str">
            <v>PS</v>
          </cell>
          <cell r="B21" t="str">
            <v>Pressure Switch</v>
          </cell>
          <cell r="C21">
            <v>25</v>
          </cell>
        </row>
        <row r="22">
          <cell r="A22" t="str">
            <v>SW</v>
          </cell>
          <cell r="B22" t="str">
            <v>Switch</v>
          </cell>
          <cell r="C22">
            <v>26</v>
          </cell>
        </row>
        <row r="23">
          <cell r="A23" t="str">
            <v>RB</v>
          </cell>
          <cell r="B23" t="str">
            <v>Robot</v>
          </cell>
          <cell r="C23">
            <v>27</v>
          </cell>
        </row>
        <row r="24">
          <cell r="A24" t="str">
            <v>DS</v>
          </cell>
          <cell r="B24" t="str">
            <v>Distance Scanner</v>
          </cell>
          <cell r="C24">
            <v>28</v>
          </cell>
        </row>
        <row r="25">
          <cell r="A25" t="str">
            <v>XC</v>
          </cell>
          <cell r="B25" t="str">
            <v>Controller</v>
          </cell>
          <cell r="C25">
            <v>29</v>
          </cell>
        </row>
        <row r="26">
          <cell r="A26" t="str">
            <v>OP</v>
          </cell>
          <cell r="B26" t="str">
            <v>Operator Panel</v>
          </cell>
          <cell r="C26">
            <v>30</v>
          </cell>
        </row>
        <row r="27">
          <cell r="A27" t="str">
            <v>CP</v>
          </cell>
          <cell r="B27" t="str">
            <v>Control Panel or Electrical Cabinet</v>
          </cell>
          <cell r="C27">
            <v>31</v>
          </cell>
        </row>
        <row r="28">
          <cell r="A28" t="str">
            <v>GU</v>
          </cell>
          <cell r="B28" t="str">
            <v>Glue System</v>
          </cell>
          <cell r="C28">
            <v>32</v>
          </cell>
        </row>
        <row r="29">
          <cell r="A29" t="str">
            <v>WT</v>
          </cell>
          <cell r="B29" t="str">
            <v>Weigh Transmitter</v>
          </cell>
          <cell r="C29">
            <v>33</v>
          </cell>
        </row>
        <row r="30">
          <cell r="A30" t="str">
            <v>LC</v>
          </cell>
          <cell r="B30" t="str">
            <v>Load Cell</v>
          </cell>
          <cell r="C30">
            <v>34</v>
          </cell>
        </row>
        <row r="31">
          <cell r="A31" t="str">
            <v>RF</v>
          </cell>
          <cell r="B31" t="str">
            <v>RFID Reader</v>
          </cell>
          <cell r="C31">
            <v>35</v>
          </cell>
        </row>
        <row r="45">
          <cell r="A45" t="str">
            <v>MiscInput</v>
          </cell>
        </row>
        <row r="46">
          <cell r="A46" t="str">
            <v>MiscOutput</v>
          </cell>
        </row>
        <row r="47">
          <cell r="A47" t="str">
            <v>Cylinder</v>
          </cell>
        </row>
        <row r="48">
          <cell r="A48" t="str">
            <v>Motor</v>
          </cell>
        </row>
        <row r="49">
          <cell r="A49" t="str">
            <v>VSD</v>
          </cell>
        </row>
        <row r="50">
          <cell r="A50" t="str">
            <v>Axis_K300</v>
          </cell>
        </row>
        <row r="51">
          <cell r="A51" t="str">
            <v>Axis_K350</v>
          </cell>
        </row>
        <row r="52">
          <cell r="A52" t="str">
            <v>Axis_CIP</v>
          </cell>
        </row>
        <row r="53">
          <cell r="A53" t="str">
            <v>Axis_K6000</v>
          </cell>
        </row>
        <row r="54">
          <cell r="A54" t="str">
            <v>Axis_Virtual</v>
          </cell>
        </row>
        <row r="55">
          <cell r="A55" t="str">
            <v>Axis_SEW</v>
          </cell>
        </row>
        <row r="56">
          <cell r="A56" t="str">
            <v>AnalogueIn</v>
          </cell>
        </row>
        <row r="57">
          <cell r="A57" t="str">
            <v>AnalogueOut</v>
          </cell>
        </row>
        <row r="58">
          <cell r="A58" t="str">
            <v>Festo_MS6SV</v>
          </cell>
        </row>
        <row r="59">
          <cell r="A59" t="str">
            <v>PositionalMotor</v>
          </cell>
        </row>
        <row r="60">
          <cell r="A60" t="str">
            <v>ABB_Robot</v>
          </cell>
        </row>
        <row r="61">
          <cell r="A61" t="str">
            <v>Encoder</v>
          </cell>
        </row>
        <row r="180">
          <cell r="A180" t="str">
            <v>Undefined</v>
          </cell>
          <cell r="B180" t="str">
            <v>0</v>
          </cell>
        </row>
        <row r="181">
          <cell r="A181" t="str">
            <v>E-Stop pushed</v>
          </cell>
          <cell r="B181" t="str">
            <v>1</v>
          </cell>
        </row>
        <row r="182">
          <cell r="A182" t="str">
            <v>Perimeter Protection Fault</v>
          </cell>
          <cell r="B182" t="str">
            <v>2</v>
          </cell>
        </row>
        <row r="183">
          <cell r="A183" t="str">
            <v>Mains turned off</v>
          </cell>
          <cell r="B183" t="str">
            <v>3</v>
          </cell>
        </row>
        <row r="184">
          <cell r="A184" t="str">
            <v>Safety Gate/Guard Door Open</v>
          </cell>
          <cell r="B184" t="str">
            <v>4</v>
          </cell>
        </row>
        <row r="185">
          <cell r="A185" t="str">
            <v>Cycle Stop Button Pushed</v>
          </cell>
          <cell r="B185" t="str">
            <v>33</v>
          </cell>
        </row>
        <row r="186">
          <cell r="A186" t="str">
            <v>Start Button Pushed</v>
          </cell>
          <cell r="B186" t="str">
            <v>34</v>
          </cell>
        </row>
        <row r="187">
          <cell r="A187" t="str">
            <v>Reset Button Pushed</v>
          </cell>
          <cell r="B187" t="str">
            <v>35</v>
          </cell>
        </row>
        <row r="188">
          <cell r="A188" t="str">
            <v>Jog Mode Selected</v>
          </cell>
          <cell r="B188" t="str">
            <v>36</v>
          </cell>
        </row>
        <row r="189">
          <cell r="A189" t="str">
            <v>Automatic Mode Selected</v>
          </cell>
          <cell r="B189" t="str">
            <v>37</v>
          </cell>
        </row>
        <row r="190">
          <cell r="A190" t="str">
            <v>Manual Mode Selected</v>
          </cell>
          <cell r="B190" t="str">
            <v>38</v>
          </cell>
        </row>
        <row r="191">
          <cell r="A191" t="str">
            <v>Semi-Automatic Mode Selected</v>
          </cell>
          <cell r="B191" t="str">
            <v>39</v>
          </cell>
        </row>
        <row r="192">
          <cell r="A192" t="str">
            <v>Material Jam</v>
          </cell>
          <cell r="B192">
            <v>65</v>
          </cell>
        </row>
        <row r="193">
          <cell r="A193" t="str">
            <v xml:space="preserve">Machine Jam </v>
          </cell>
          <cell r="B193">
            <v>257</v>
          </cell>
        </row>
        <row r="194">
          <cell r="A194" t="str">
            <v>Electrical Overload</v>
          </cell>
          <cell r="B194">
            <v>258</v>
          </cell>
        </row>
        <row r="195">
          <cell r="A195" t="str">
            <v>Mechanical Overload</v>
          </cell>
          <cell r="B195">
            <v>259</v>
          </cell>
        </row>
        <row r="196">
          <cell r="A196" t="str">
            <v>Drive Fault</v>
          </cell>
          <cell r="B196">
            <v>260</v>
          </cell>
        </row>
        <row r="197">
          <cell r="A197" t="str">
            <v>Drive Failure</v>
          </cell>
          <cell r="B197">
            <v>261</v>
          </cell>
        </row>
        <row r="198">
          <cell r="A198" t="str">
            <v>Servo Axis Fault</v>
          </cell>
          <cell r="B198">
            <v>262</v>
          </cell>
        </row>
        <row r="199">
          <cell r="A199" t="str">
            <v>Servo Axis Failure</v>
          </cell>
          <cell r="B199">
            <v>263</v>
          </cell>
        </row>
        <row r="200">
          <cell r="A200" t="str">
            <v xml:space="preserve">Communication Error </v>
          </cell>
          <cell r="B200">
            <v>264</v>
          </cell>
        </row>
        <row r="201">
          <cell r="A201" t="str">
            <v>PLC Error Code</v>
          </cell>
          <cell r="B201">
            <v>265</v>
          </cell>
        </row>
        <row r="202">
          <cell r="A202" t="str">
            <v>Vacuum</v>
          </cell>
          <cell r="B202">
            <v>266</v>
          </cell>
        </row>
        <row r="203">
          <cell r="A203" t="str">
            <v>Air Pressure</v>
          </cell>
          <cell r="B203">
            <v>267</v>
          </cell>
        </row>
        <row r="204">
          <cell r="A204" t="str">
            <v>Voltage</v>
          </cell>
          <cell r="B204">
            <v>268</v>
          </cell>
        </row>
        <row r="205">
          <cell r="A205" t="str">
            <v>Temperature</v>
          </cell>
          <cell r="B205">
            <v>269</v>
          </cell>
        </row>
        <row r="206">
          <cell r="A206" t="str">
            <v>Hydraulic Pressure</v>
          </cell>
          <cell r="B206">
            <v>270</v>
          </cell>
        </row>
        <row r="207">
          <cell r="A207" t="str">
            <v>Hydraulic Level</v>
          </cell>
          <cell r="B207">
            <v>271</v>
          </cell>
        </row>
        <row r="208">
          <cell r="A208" t="str">
            <v>Hydraulic Temperature</v>
          </cell>
          <cell r="B208">
            <v>272</v>
          </cell>
        </row>
        <row r="209">
          <cell r="A209" t="str">
            <v>Counter Preset Reached</v>
          </cell>
          <cell r="B209">
            <v>513</v>
          </cell>
        </row>
        <row r="210">
          <cell r="A210" t="str">
            <v>Product Selected</v>
          </cell>
          <cell r="B210">
            <v>514</v>
          </cell>
        </row>
        <row r="211">
          <cell r="A211" t="str">
            <v>Local Slow Speed Requested</v>
          </cell>
          <cell r="B211">
            <v>515</v>
          </cell>
        </row>
        <row r="212">
          <cell r="A212" t="str">
            <v>Local Medium Speed Requested</v>
          </cell>
          <cell r="B212">
            <v>516</v>
          </cell>
        </row>
        <row r="213">
          <cell r="A213" t="str">
            <v>Local High Speed Requested</v>
          </cell>
          <cell r="B213">
            <v>517</v>
          </cell>
        </row>
        <row r="214">
          <cell r="A214" t="str">
            <v>Local Surge Speed Requested</v>
          </cell>
          <cell r="B214">
            <v>518</v>
          </cell>
        </row>
        <row r="215">
          <cell r="A215" t="str">
            <v>Remote Speed Requested</v>
          </cell>
          <cell r="B215">
            <v>519</v>
          </cell>
        </row>
        <row r="216">
          <cell r="A216" t="str">
            <v>Drive Warning</v>
          </cell>
          <cell r="B216">
            <v>520</v>
          </cell>
        </row>
        <row r="217">
          <cell r="A217" t="str">
            <v>Servo Warning</v>
          </cell>
          <cell r="B217">
            <v>521</v>
          </cell>
        </row>
        <row r="218">
          <cell r="A218" t="str">
            <v>Infeed Not turned On</v>
          </cell>
          <cell r="B218">
            <v>2000</v>
          </cell>
        </row>
        <row r="219">
          <cell r="A219" t="str">
            <v>Infeed Overload</v>
          </cell>
          <cell r="B219">
            <v>2001</v>
          </cell>
        </row>
        <row r="220">
          <cell r="A220" t="str">
            <v>Low Prime Material</v>
          </cell>
          <cell r="B220">
            <v>2002</v>
          </cell>
        </row>
        <row r="221">
          <cell r="A221" t="str">
            <v>High Prime Material</v>
          </cell>
          <cell r="B221">
            <v>2003</v>
          </cell>
        </row>
        <row r="222">
          <cell r="A222" t="str">
            <v>Vendor Definded Upstream Item 1</v>
          </cell>
          <cell r="B222">
            <v>2500</v>
          </cell>
        </row>
        <row r="223">
          <cell r="A223" t="str">
            <v>Vendor Definded Upstream Item 2</v>
          </cell>
          <cell r="B223">
            <v>2501</v>
          </cell>
        </row>
        <row r="224">
          <cell r="A224" t="str">
            <v>Vendor Definded Upstream Item 3</v>
          </cell>
          <cell r="B224">
            <v>2502</v>
          </cell>
        </row>
        <row r="225">
          <cell r="A225" t="str">
            <v>Vendor Definded Upstream Item 4</v>
          </cell>
          <cell r="B225">
            <v>2503</v>
          </cell>
        </row>
        <row r="226">
          <cell r="A226" t="str">
            <v>Vendor Definded Upstream Item 5</v>
          </cell>
          <cell r="B226">
            <v>2504</v>
          </cell>
        </row>
        <row r="227">
          <cell r="A227" t="str">
            <v>Vendor Definded Upstream Item 6</v>
          </cell>
          <cell r="B227">
            <v>2505</v>
          </cell>
        </row>
        <row r="228">
          <cell r="A228" t="str">
            <v>Vendor Definded Upstream Item 7</v>
          </cell>
          <cell r="B228">
            <v>2506</v>
          </cell>
        </row>
        <row r="229">
          <cell r="A229" t="str">
            <v>Vendor Definded Upstream Item 8</v>
          </cell>
          <cell r="B229">
            <v>2507</v>
          </cell>
        </row>
        <row r="230">
          <cell r="A230" t="str">
            <v>Vendor Definded Upstream Item 9</v>
          </cell>
          <cell r="B230">
            <v>2508</v>
          </cell>
        </row>
        <row r="231">
          <cell r="A231" t="str">
            <v>Vendor Definded Upstream Item 10</v>
          </cell>
          <cell r="B231">
            <v>2509</v>
          </cell>
        </row>
        <row r="232">
          <cell r="A232" t="str">
            <v>Vendor Definded Upstream Item 11</v>
          </cell>
          <cell r="B232">
            <v>2510</v>
          </cell>
        </row>
        <row r="233">
          <cell r="A233" t="str">
            <v>Discharge Not Turned On</v>
          </cell>
          <cell r="B233">
            <v>3000</v>
          </cell>
        </row>
        <row r="234">
          <cell r="A234" t="str">
            <v>Discharge Overload</v>
          </cell>
          <cell r="B234">
            <v>3001</v>
          </cell>
        </row>
        <row r="235">
          <cell r="A235" t="str">
            <v>Discharge Blocked reason</v>
          </cell>
          <cell r="B235">
            <v>3002</v>
          </cell>
        </row>
        <row r="236">
          <cell r="A236" t="str">
            <v>Discharge Cycle Stop reason</v>
          </cell>
          <cell r="B236">
            <v>3003</v>
          </cell>
        </row>
        <row r="237">
          <cell r="A237" t="str">
            <v>Discharge Immediate Stop reason</v>
          </cell>
          <cell r="B237">
            <v>3004</v>
          </cell>
        </row>
        <row r="238">
          <cell r="A238" t="str">
            <v>Vendor Definded Downstream Item 1</v>
          </cell>
          <cell r="B238">
            <v>3500</v>
          </cell>
        </row>
        <row r="239">
          <cell r="A239" t="str">
            <v>Vendor Definded Downstream Item 2</v>
          </cell>
          <cell r="B239">
            <v>3501</v>
          </cell>
        </row>
        <row r="240">
          <cell r="A240" t="str">
            <v>Vendor Definded Downstream Item 3</v>
          </cell>
          <cell r="B240">
            <v>3502</v>
          </cell>
        </row>
        <row r="241">
          <cell r="A241" t="str">
            <v>Vendor Definded Downstream Item 4</v>
          </cell>
          <cell r="B241">
            <v>3503</v>
          </cell>
        </row>
        <row r="242">
          <cell r="A242" t="str">
            <v>Vendor Definded Downstream Item 5</v>
          </cell>
          <cell r="B242">
            <v>3504</v>
          </cell>
        </row>
        <row r="243">
          <cell r="A243" t="str">
            <v>Vendor Definded Downstream Item 6</v>
          </cell>
          <cell r="B243">
            <v>3505</v>
          </cell>
        </row>
        <row r="244">
          <cell r="A244" t="str">
            <v>Vendor Definded Downstream Item 7</v>
          </cell>
          <cell r="B244">
            <v>3506</v>
          </cell>
        </row>
        <row r="245">
          <cell r="A245" t="str">
            <v>Vendor Definded Downstream Item 8</v>
          </cell>
          <cell r="B245">
            <v>3507</v>
          </cell>
        </row>
        <row r="246">
          <cell r="A246" t="str">
            <v>Vendor Definded Downstream Item 9</v>
          </cell>
          <cell r="B246">
            <v>3508</v>
          </cell>
        </row>
        <row r="247">
          <cell r="A247" t="str">
            <v>Vendor Definded Downstream Item 10</v>
          </cell>
          <cell r="B247">
            <v>3509</v>
          </cell>
        </row>
        <row r="248">
          <cell r="A248" t="str">
            <v>Vendor Definded Downstream Item 11</v>
          </cell>
          <cell r="B248">
            <v>3510</v>
          </cell>
        </row>
        <row r="249">
          <cell r="A249" t="str">
            <v>Line Not Scheduled</v>
          </cell>
          <cell r="B249">
            <v>4000</v>
          </cell>
        </row>
        <row r="250">
          <cell r="A250" t="str">
            <v>Planned Maintenance</v>
          </cell>
          <cell r="B250">
            <v>4001</v>
          </cell>
        </row>
        <row r="251">
          <cell r="A251" t="str">
            <v>Meals and Rest</v>
          </cell>
          <cell r="B251">
            <v>4002</v>
          </cell>
        </row>
        <row r="252">
          <cell r="A252" t="str">
            <v>Meetings</v>
          </cell>
          <cell r="B252">
            <v>4003</v>
          </cell>
        </row>
        <row r="253">
          <cell r="A253" t="str">
            <v>Training</v>
          </cell>
          <cell r="B253">
            <v>4004</v>
          </cell>
        </row>
        <row r="254">
          <cell r="A254" t="str">
            <v>No Packaging Materials</v>
          </cell>
          <cell r="B254">
            <v>4005</v>
          </cell>
        </row>
        <row r="255">
          <cell r="A255" t="str">
            <v>Remote Stop Requested</v>
          </cell>
          <cell r="B255">
            <v>4006</v>
          </cell>
        </row>
        <row r="256">
          <cell r="A256" t="str">
            <v>Machine Not Selected</v>
          </cell>
          <cell r="B256">
            <v>4007</v>
          </cell>
        </row>
        <row r="257">
          <cell r="A257" t="str">
            <v>Changeover</v>
          </cell>
          <cell r="B257">
            <v>4008</v>
          </cell>
        </row>
        <row r="258">
          <cell r="A258" t="str">
            <v>Lubrication</v>
          </cell>
          <cell r="B258">
            <v>4009</v>
          </cell>
        </row>
        <row r="259">
          <cell r="A259" t="str">
            <v>Product count preset reached</v>
          </cell>
          <cell r="B259">
            <v>4010</v>
          </cell>
        </row>
        <row r="260">
          <cell r="A260" t="str">
            <v>Setup Selected</v>
          </cell>
          <cell r="B260">
            <v>4011</v>
          </cell>
        </row>
        <row r="261">
          <cell r="A261" t="str">
            <v>No Incoming Product</v>
          </cell>
          <cell r="B261">
            <v>4012</v>
          </cell>
        </row>
        <row r="262">
          <cell r="A262" t="str">
            <v>Waiting for Electrical Service</v>
          </cell>
          <cell r="B262">
            <v>4013</v>
          </cell>
        </row>
        <row r="263">
          <cell r="A263" t="str">
            <v>Waiting for Mechanical Service</v>
          </cell>
          <cell r="B263">
            <v>4014</v>
          </cell>
        </row>
      </sheetData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Sheet"/>
      <sheetName val="Title"/>
      <sheetName val="Assemblies"/>
      <sheetName val="EquipmentList"/>
      <sheetName val="NodeList"/>
      <sheetName val="XC0402"/>
      <sheetName val="XC0301"/>
      <sheetName val="XC0401"/>
      <sheetName val="Item Codes"/>
      <sheetName val="Alarms"/>
      <sheetName val="EventLog"/>
    </sheetNames>
    <sheetDataSet>
      <sheetData sheetId="0"/>
      <sheetData sheetId="1"/>
      <sheetData sheetId="2"/>
      <sheetData sheetId="3">
        <row r="1">
          <cell r="A1" t="str">
            <v>16429A</v>
          </cell>
          <cell r="B1"/>
          <cell r="C1"/>
          <cell r="D1"/>
          <cell r="E1" t="str">
            <v>Equipment List</v>
          </cell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 t="str">
            <v>Electrical</v>
          </cell>
          <cell r="R1"/>
          <cell r="S1"/>
          <cell r="T1"/>
          <cell r="U1"/>
          <cell r="V1"/>
          <cell r="W1"/>
          <cell r="X1"/>
          <cell r="Y1"/>
          <cell r="Z1"/>
          <cell r="AA1"/>
          <cell r="AB1"/>
          <cell r="AC1"/>
          <cell r="AD1"/>
          <cell r="AE1"/>
          <cell r="AF1"/>
          <cell r="AG1"/>
        </row>
        <row r="2">
          <cell r="A2" t="str">
            <v>Blank</v>
          </cell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 t="str">
            <v>Cables</v>
          </cell>
          <cell r="R2"/>
          <cell r="S2"/>
          <cell r="T2" t="str">
            <v>PLC 1</v>
          </cell>
          <cell r="U2"/>
          <cell r="V2"/>
          <cell r="W2"/>
          <cell r="X2" t="str">
            <v>PLC 2</v>
          </cell>
          <cell r="Y2"/>
          <cell r="Z2"/>
          <cell r="AA2"/>
          <cell r="AB2" t="str">
            <v>Robot</v>
          </cell>
          <cell r="AC2"/>
          <cell r="AD2" t="str">
            <v>Festo</v>
          </cell>
          <cell r="AE2"/>
          <cell r="AF2" t="str">
            <v>Safety</v>
          </cell>
          <cell r="AG2"/>
        </row>
        <row r="3">
          <cell r="A3" t="str">
            <v>TAG</v>
          </cell>
          <cell r="B3" t="str">
            <v>AREA</v>
          </cell>
          <cell r="C3" t="str">
            <v>MACHINE</v>
          </cell>
          <cell r="D3" t="str">
            <v>CLASS</v>
          </cell>
          <cell r="E3" t="str">
            <v>SUB AREA</v>
          </cell>
          <cell r="F3" t="str">
            <v>ITEM</v>
          </cell>
          <cell r="G3" t="str">
            <v>SUFFIX</v>
          </cell>
          <cell r="H3" t="str">
            <v>Description</v>
          </cell>
          <cell r="I3"/>
          <cell r="J3" t="str">
            <v>PLC Style</v>
          </cell>
          <cell r="K3" t="str">
            <v>OMAC Alarm Reason</v>
          </cell>
          <cell r="L3" t="str">
            <v>OMAC Alarm Value</v>
          </cell>
          <cell r="M3" t="str">
            <v>OMAC Alarm ID</v>
          </cell>
          <cell r="N3" t="str">
            <v xml:space="preserve">Make </v>
          </cell>
          <cell r="O3" t="str">
            <v>Model</v>
          </cell>
          <cell r="P3" t="str">
            <v>PartNumber</v>
          </cell>
          <cell r="Q3" t="str">
            <v>Cable 1</v>
          </cell>
          <cell r="R3" t="str">
            <v>Cable 2</v>
          </cell>
          <cell r="S3" t="str">
            <v>Amps</v>
          </cell>
          <cell r="T3" t="str">
            <v>DO</v>
          </cell>
          <cell r="U3" t="str">
            <v>DI</v>
          </cell>
          <cell r="V3" t="str">
            <v>AO</v>
          </cell>
          <cell r="W3" t="str">
            <v>AI</v>
          </cell>
          <cell r="X3" t="str">
            <v>DO</v>
          </cell>
          <cell r="Y3" t="str">
            <v>DI</v>
          </cell>
          <cell r="Z3" t="str">
            <v>AO</v>
          </cell>
          <cell r="AA3" t="str">
            <v>AI</v>
          </cell>
          <cell r="AB3" t="str">
            <v>DO</v>
          </cell>
          <cell r="AC3" t="str">
            <v>DI</v>
          </cell>
          <cell r="AD3" t="str">
            <v>DO</v>
          </cell>
          <cell r="AE3" t="str">
            <v>DI</v>
          </cell>
          <cell r="AF3" t="str">
            <v>DO</v>
          </cell>
          <cell r="AG3" t="str">
            <v>DI</v>
          </cell>
        </row>
        <row r="4">
          <cell r="A4" t="str">
            <v>Electrical - General</v>
          </cell>
          <cell r="B4"/>
          <cell r="C4"/>
          <cell r="D4"/>
          <cell r="E4"/>
          <cell r="F4"/>
          <cell r="G4"/>
          <cell r="H4"/>
          <cell r="I4" t="str">
            <v/>
          </cell>
          <cell r="L4" t="str">
            <v/>
          </cell>
          <cell r="M4" t="str">
            <v/>
          </cell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</row>
        <row r="5">
          <cell r="A5" t="str">
            <v>CP0301</v>
          </cell>
          <cell r="B5"/>
          <cell r="C5"/>
          <cell r="D5" t="str">
            <v>CP</v>
          </cell>
          <cell r="E5" t="str">
            <v>03</v>
          </cell>
          <cell r="F5" t="str">
            <v>01</v>
          </cell>
          <cell r="G5"/>
          <cell r="H5" t="str">
            <v xml:space="preserve">Main Control Cabinet   </v>
          </cell>
          <cell r="I5">
            <v>23</v>
          </cell>
          <cell r="L5" t="str">
            <v/>
          </cell>
          <cell r="M5" t="str">
            <v/>
          </cell>
          <cell r="N5" t="str">
            <v>ELDON</v>
          </cell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C5"/>
          <cell r="AD5"/>
          <cell r="AE5"/>
          <cell r="AF5"/>
          <cell r="AG5"/>
        </row>
        <row r="6">
          <cell r="A6" t="str">
            <v>OP0306</v>
          </cell>
          <cell r="B6"/>
          <cell r="C6"/>
          <cell r="D6" t="str">
            <v>OP</v>
          </cell>
          <cell r="E6" t="str">
            <v>03</v>
          </cell>
          <cell r="F6" t="str">
            <v>06</v>
          </cell>
          <cell r="G6"/>
          <cell r="H6" t="str">
            <v>IPC</v>
          </cell>
          <cell r="I6">
            <v>3</v>
          </cell>
          <cell r="L6" t="str">
            <v/>
          </cell>
          <cell r="M6" t="str">
            <v/>
          </cell>
          <cell r="N6"/>
          <cell r="O6" t="str">
            <v>IPC</v>
          </cell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C6"/>
          <cell r="AD6"/>
          <cell r="AE6"/>
          <cell r="AF6"/>
          <cell r="AG6"/>
        </row>
        <row r="7">
          <cell r="A7" t="str">
            <v>OP0301</v>
          </cell>
          <cell r="B7"/>
          <cell r="C7"/>
          <cell r="D7" t="str">
            <v>OP</v>
          </cell>
          <cell r="E7" t="str">
            <v>03</v>
          </cell>
          <cell r="F7" t="str">
            <v>01</v>
          </cell>
          <cell r="G7"/>
          <cell r="H7" t="str">
            <v>HMI</v>
          </cell>
          <cell r="L7"/>
          <cell r="M7"/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C7"/>
          <cell r="AD7"/>
          <cell r="AE7"/>
          <cell r="AF7"/>
          <cell r="AG7"/>
        </row>
        <row r="8">
          <cell r="A8" t="str">
            <v>XC0301</v>
          </cell>
          <cell r="B8"/>
          <cell r="C8"/>
          <cell r="D8" t="str">
            <v>XC</v>
          </cell>
          <cell r="E8" t="str">
            <v>03</v>
          </cell>
          <cell r="F8" t="str">
            <v>01</v>
          </cell>
          <cell r="G8"/>
          <cell r="H8" t="str">
            <v>Remote IO</v>
          </cell>
          <cell r="I8">
            <v>9</v>
          </cell>
          <cell r="J8"/>
          <cell r="L8"/>
          <cell r="M8"/>
          <cell r="N8" t="str">
            <v>AB</v>
          </cell>
          <cell r="O8" t="str">
            <v>1734-AENTR</v>
          </cell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  <cell r="AG8"/>
        </row>
        <row r="9">
          <cell r="A9" t="str">
            <v>XC0306</v>
          </cell>
          <cell r="B9"/>
          <cell r="C9"/>
          <cell r="D9" t="str">
            <v>XC</v>
          </cell>
          <cell r="E9" t="str">
            <v>03</v>
          </cell>
          <cell r="F9" t="str">
            <v>06</v>
          </cell>
          <cell r="G9"/>
          <cell r="H9" t="str">
            <v>PLC</v>
          </cell>
          <cell r="I9">
            <v>3</v>
          </cell>
          <cell r="L9"/>
          <cell r="M9"/>
          <cell r="N9" t="str">
            <v>AB</v>
          </cell>
          <cell r="O9" t="str">
            <v>1769-L36ERMS</v>
          </cell>
          <cell r="P9"/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C9"/>
          <cell r="AD9"/>
          <cell r="AE9"/>
          <cell r="AF9"/>
          <cell r="AG9"/>
        </row>
        <row r="10">
          <cell r="A10" t="str">
            <v>XC0311</v>
          </cell>
          <cell r="B10"/>
          <cell r="C10"/>
          <cell r="D10" t="str">
            <v>XC</v>
          </cell>
          <cell r="E10" t="str">
            <v>03</v>
          </cell>
          <cell r="F10" t="str">
            <v>11</v>
          </cell>
          <cell r="G10"/>
          <cell r="H10" t="str">
            <v>UnManged Ethernet Switch</v>
          </cell>
          <cell r="I10">
            <v>15</v>
          </cell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  <cell r="AG10"/>
        </row>
        <row r="11">
          <cell r="A11" t="str">
            <v>DO0301</v>
          </cell>
          <cell r="B11"/>
          <cell r="C11"/>
          <cell r="D11" t="str">
            <v>DO</v>
          </cell>
          <cell r="E11" t="str">
            <v>03</v>
          </cell>
          <cell r="F11" t="str">
            <v>01</v>
          </cell>
          <cell r="G11"/>
          <cell r="H11" t="str">
            <v>Drives Fault Reset</v>
          </cell>
          <cell r="I11">
            <v>18</v>
          </cell>
          <cell r="J11" t="str">
            <v>MiscOutput</v>
          </cell>
          <cell r="K11" t="str">
            <v>Undefined</v>
          </cell>
          <cell r="L11" t="str">
            <v>0</v>
          </cell>
          <cell r="M11" t="str">
            <v>210301</v>
          </cell>
          <cell r="N11"/>
          <cell r="O11"/>
          <cell r="P11"/>
          <cell r="Q11"/>
          <cell r="R11"/>
          <cell r="S11"/>
          <cell r="T11">
            <v>1</v>
          </cell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/>
          <cell r="AG11"/>
        </row>
        <row r="12">
          <cell r="A12" t="str">
            <v>IL0301</v>
          </cell>
          <cell r="B12"/>
          <cell r="C12"/>
          <cell r="D12" t="str">
            <v>IL</v>
          </cell>
          <cell r="E12" t="str">
            <v>03</v>
          </cell>
          <cell r="F12" t="str">
            <v>01</v>
          </cell>
          <cell r="G12"/>
          <cell r="H12" t="str">
            <v>Run Indication (Green)</v>
          </cell>
          <cell r="I12">
            <v>22</v>
          </cell>
          <cell r="J12" t="str">
            <v>MiscOutput</v>
          </cell>
          <cell r="K12" t="str">
            <v>Undefined</v>
          </cell>
          <cell r="L12" t="str">
            <v>0</v>
          </cell>
          <cell r="M12" t="str">
            <v>220301</v>
          </cell>
          <cell r="N12" t="str">
            <v>Banner</v>
          </cell>
          <cell r="O12" t="str">
            <v>EZ LIGHT TL50 Tower Light: 3-Color Tower Light</v>
          </cell>
          <cell r="P12">
            <v>81861</v>
          </cell>
          <cell r="Q12"/>
          <cell r="R12"/>
          <cell r="S12"/>
          <cell r="T12">
            <v>1</v>
          </cell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  <cell r="AG12"/>
        </row>
        <row r="13">
          <cell r="A13" t="str">
            <v>IL0302</v>
          </cell>
          <cell r="B13"/>
          <cell r="C13"/>
          <cell r="D13" t="str">
            <v>IL</v>
          </cell>
          <cell r="E13" t="str">
            <v>03</v>
          </cell>
          <cell r="F13" t="str">
            <v>02</v>
          </cell>
          <cell r="G13"/>
          <cell r="H13" t="str">
            <v>Alert Indication (Amber)</v>
          </cell>
          <cell r="I13">
            <v>24</v>
          </cell>
          <cell r="J13" t="str">
            <v>MiscOutput</v>
          </cell>
          <cell r="K13" t="str">
            <v>Undefined</v>
          </cell>
          <cell r="L13" t="str">
            <v>0</v>
          </cell>
          <cell r="M13" t="str">
            <v>220302</v>
          </cell>
          <cell r="N13" t="str">
            <v>Banner</v>
          </cell>
          <cell r="O13"/>
          <cell r="P13"/>
          <cell r="Q13"/>
          <cell r="R13"/>
          <cell r="S13"/>
          <cell r="T13">
            <v>1</v>
          </cell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</row>
        <row r="14">
          <cell r="A14" t="str">
            <v>IL0303</v>
          </cell>
          <cell r="B14"/>
          <cell r="C14"/>
          <cell r="D14" t="str">
            <v>IL</v>
          </cell>
          <cell r="E14" t="str">
            <v>03</v>
          </cell>
          <cell r="F14" t="str">
            <v>03</v>
          </cell>
          <cell r="G14"/>
          <cell r="H14" t="str">
            <v>Fault Indication (Red)</v>
          </cell>
          <cell r="I14">
            <v>22</v>
          </cell>
          <cell r="J14" t="str">
            <v>MiscOutput</v>
          </cell>
          <cell r="K14" t="str">
            <v>Undefined</v>
          </cell>
          <cell r="L14" t="str">
            <v>0</v>
          </cell>
          <cell r="M14" t="str">
            <v>220303</v>
          </cell>
          <cell r="N14" t="str">
            <v>Banner</v>
          </cell>
          <cell r="O14"/>
          <cell r="P14"/>
          <cell r="Q14"/>
          <cell r="R14"/>
          <cell r="S14"/>
          <cell r="T14">
            <v>1</v>
          </cell>
          <cell r="U14"/>
          <cell r="V14"/>
          <cell r="W14"/>
          <cell r="X14"/>
          <cell r="Y14"/>
          <cell r="Z14"/>
          <cell r="AA14"/>
          <cell r="AB14"/>
          <cell r="AC14"/>
          <cell r="AD14"/>
          <cell r="AE14"/>
          <cell r="AF14"/>
          <cell r="AG14"/>
        </row>
        <row r="15">
          <cell r="A15" t="str">
            <v>IL0304</v>
          </cell>
          <cell r="B15"/>
          <cell r="C15"/>
          <cell r="D15" t="str">
            <v>IL</v>
          </cell>
          <cell r="E15" t="str">
            <v>03</v>
          </cell>
          <cell r="F15" t="str">
            <v>04</v>
          </cell>
          <cell r="G15"/>
          <cell r="H15" t="str">
            <v>Buzzer</v>
          </cell>
          <cell r="I15">
            <v>6</v>
          </cell>
          <cell r="J15" t="str">
            <v>MiscOutput</v>
          </cell>
          <cell r="K15" t="str">
            <v>Undefined</v>
          </cell>
          <cell r="L15" t="str">
            <v>0</v>
          </cell>
          <cell r="M15" t="str">
            <v>220304</v>
          </cell>
          <cell r="N15" t="str">
            <v>Banner</v>
          </cell>
          <cell r="O15"/>
          <cell r="P15"/>
          <cell r="Q15"/>
          <cell r="R15"/>
          <cell r="S15"/>
          <cell r="T15">
            <v>1</v>
          </cell>
          <cell r="U15"/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</row>
        <row r="16">
          <cell r="A16" t="str">
            <v>Electrical - Safety</v>
          </cell>
          <cell r="B16"/>
          <cell r="C16"/>
          <cell r="D16"/>
          <cell r="E16"/>
          <cell r="F16"/>
          <cell r="G16"/>
          <cell r="H16"/>
          <cell r="L16" t="str">
            <v/>
          </cell>
          <cell r="M16" t="str">
            <v/>
          </cell>
          <cell r="N16" t="str">
            <v xml:space="preserve"> </v>
          </cell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</row>
        <row r="17">
          <cell r="A17" t="str">
            <v>DO0320</v>
          </cell>
          <cell r="B17"/>
          <cell r="C17"/>
          <cell r="D17" t="str">
            <v>DO</v>
          </cell>
          <cell r="E17" t="str">
            <v>03</v>
          </cell>
          <cell r="F17" t="str">
            <v>20</v>
          </cell>
          <cell r="G17"/>
          <cell r="H17" t="str">
            <v>Safety Reset</v>
          </cell>
          <cell r="I17">
            <v>12</v>
          </cell>
          <cell r="J17" t="str">
            <v>MiscOutput</v>
          </cell>
          <cell r="K17" t="str">
            <v>Undefined</v>
          </cell>
          <cell r="L17" t="str">
            <v>0</v>
          </cell>
          <cell r="M17" t="str">
            <v>210320</v>
          </cell>
          <cell r="N17"/>
          <cell r="O17"/>
          <cell r="P17"/>
          <cell r="Q17"/>
          <cell r="R17"/>
          <cell r="S17"/>
          <cell r="T17">
            <v>1</v>
          </cell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</row>
        <row r="18">
          <cell r="A18" t="str">
            <v>K0320</v>
          </cell>
          <cell r="B18"/>
          <cell r="C18"/>
          <cell r="D18" t="str">
            <v>K</v>
          </cell>
          <cell r="E18" t="str">
            <v>03</v>
          </cell>
          <cell r="F18" t="str">
            <v>20</v>
          </cell>
          <cell r="G18"/>
          <cell r="H18" t="str">
            <v>Packer Safety Contactor 1</v>
          </cell>
          <cell r="I18">
            <v>25</v>
          </cell>
          <cell r="J18" t="str">
            <v>MiscInput</v>
          </cell>
          <cell r="K18" t="str">
            <v>Undefined</v>
          </cell>
          <cell r="L18" t="str">
            <v>0</v>
          </cell>
          <cell r="M18" t="str">
            <v>240320</v>
          </cell>
          <cell r="N18" t="str">
            <v>SCHNEIDER</v>
          </cell>
          <cell r="O18" t="str">
            <v>LC1D</v>
          </cell>
          <cell r="P18" t="str">
            <v>LC1D18BD</v>
          </cell>
          <cell r="Q18"/>
          <cell r="R18"/>
          <cell r="S18"/>
          <cell r="T18">
            <v>1</v>
          </cell>
          <cell r="U18">
            <v>1</v>
          </cell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</row>
        <row r="19">
          <cell r="A19" t="str">
            <v>K0321</v>
          </cell>
          <cell r="B19"/>
          <cell r="C19"/>
          <cell r="D19" t="str">
            <v>K</v>
          </cell>
          <cell r="E19" t="str">
            <v>03</v>
          </cell>
          <cell r="F19" t="str">
            <v>21</v>
          </cell>
          <cell r="G19"/>
          <cell r="H19" t="str">
            <v>Packer Safety Contactor 2</v>
          </cell>
          <cell r="I19">
            <v>25</v>
          </cell>
          <cell r="J19" t="str">
            <v>MiscInput</v>
          </cell>
          <cell r="K19" t="str">
            <v>Undefined</v>
          </cell>
          <cell r="L19" t="str">
            <v>0</v>
          </cell>
          <cell r="M19" t="str">
            <v>240321</v>
          </cell>
          <cell r="N19" t="str">
            <v>SCHNEIDER</v>
          </cell>
          <cell r="O19" t="str">
            <v>LC1D</v>
          </cell>
          <cell r="P19" t="str">
            <v>LC1D18BD</v>
          </cell>
          <cell r="Q19"/>
          <cell r="R19"/>
          <cell r="S19"/>
          <cell r="T19">
            <v>1</v>
          </cell>
          <cell r="U19">
            <v>1</v>
          </cell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</row>
        <row r="20">
          <cell r="A20" t="str">
            <v>Electrical - Site Interface</v>
          </cell>
          <cell r="B20"/>
          <cell r="C20"/>
          <cell r="D20"/>
          <cell r="E20"/>
          <cell r="F20"/>
          <cell r="G20"/>
          <cell r="H20"/>
          <cell r="L20" t="str">
            <v/>
          </cell>
          <cell r="M20" t="str">
            <v/>
          </cell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</row>
        <row r="21">
          <cell r="A21" t="str">
            <v>DI0350</v>
          </cell>
          <cell r="B21"/>
          <cell r="C21"/>
          <cell r="D21" t="str">
            <v>DI</v>
          </cell>
          <cell r="E21" t="str">
            <v>03</v>
          </cell>
          <cell r="F21" t="str">
            <v>50</v>
          </cell>
          <cell r="G21"/>
          <cell r="H21" t="str">
            <v xml:space="preserve">Down Stream Ready </v>
          </cell>
          <cell r="I21">
            <v>18</v>
          </cell>
          <cell r="J21" t="str">
            <v>MiscInput</v>
          </cell>
          <cell r="K21" t="str">
            <v>Undefined</v>
          </cell>
          <cell r="L21" t="str">
            <v>0</v>
          </cell>
          <cell r="M21" t="str">
            <v>200350</v>
          </cell>
          <cell r="N21" t="str">
            <v>SCHNEIDER</v>
          </cell>
          <cell r="O21" t="str">
            <v>SPDT-24VDC</v>
          </cell>
          <cell r="P21" t="str">
            <v>RXZE2M114/RSL1AB4BD</v>
          </cell>
          <cell r="Q21"/>
          <cell r="R21"/>
          <cell r="S21"/>
          <cell r="T21"/>
          <cell r="U21">
            <v>1</v>
          </cell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</row>
        <row r="22">
          <cell r="A22" t="str">
            <v>DO0350</v>
          </cell>
          <cell r="B22"/>
          <cell r="C22"/>
          <cell r="D22" t="str">
            <v>DO</v>
          </cell>
          <cell r="E22" t="str">
            <v>03</v>
          </cell>
          <cell r="F22" t="str">
            <v>50</v>
          </cell>
          <cell r="G22"/>
          <cell r="H22" t="str">
            <v xml:space="preserve">Upstream Run Signal </v>
          </cell>
          <cell r="I22">
            <v>20</v>
          </cell>
          <cell r="J22" t="str">
            <v>MiscOutput</v>
          </cell>
          <cell r="K22" t="str">
            <v>Undefined</v>
          </cell>
          <cell r="L22" t="str">
            <v>0</v>
          </cell>
          <cell r="M22" t="str">
            <v>210350</v>
          </cell>
          <cell r="N22" t="str">
            <v>SCHNEIDER</v>
          </cell>
          <cell r="O22" t="str">
            <v>SPDT-24VDC</v>
          </cell>
          <cell r="P22" t="str">
            <v>RXZE2M114/RSL1AB4BD</v>
          </cell>
          <cell r="Q22"/>
          <cell r="R22"/>
          <cell r="S22"/>
          <cell r="T22">
            <v>1</v>
          </cell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</row>
        <row r="23">
          <cell r="A23" t="str">
            <v>Pneumatics</v>
          </cell>
          <cell r="B23"/>
          <cell r="C23"/>
          <cell r="D23"/>
          <cell r="E23"/>
          <cell r="F23"/>
          <cell r="G23"/>
          <cell r="H23"/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</row>
        <row r="24">
          <cell r="A24" t="str">
            <v>SV0401</v>
          </cell>
          <cell r="B24"/>
          <cell r="C24"/>
          <cell r="D24" t="str">
            <v>SV</v>
          </cell>
          <cell r="E24" t="str">
            <v>04</v>
          </cell>
          <cell r="F24" t="str">
            <v>01</v>
          </cell>
          <cell r="G24"/>
          <cell r="H24" t="str">
            <v>Pneumatic Quick Exhaust Valve</v>
          </cell>
          <cell r="I24">
            <v>29</v>
          </cell>
          <cell r="J24" t="str">
            <v>MiscOutput</v>
          </cell>
          <cell r="K24" t="str">
            <v>Undefined</v>
          </cell>
          <cell r="L24" t="str">
            <v>0</v>
          </cell>
          <cell r="M24" t="str">
            <v>140401</v>
          </cell>
          <cell r="N24" t="str">
            <v>Festo</v>
          </cell>
          <cell r="O24"/>
          <cell r="P24"/>
          <cell r="Q24"/>
          <cell r="R24"/>
          <cell r="S24"/>
          <cell r="T24">
            <v>2</v>
          </cell>
          <cell r="U24">
            <v>2</v>
          </cell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</row>
        <row r="25">
          <cell r="A25" t="str">
            <v>PS0401</v>
          </cell>
          <cell r="B25"/>
          <cell r="C25"/>
          <cell r="D25" t="str">
            <v>PS</v>
          </cell>
          <cell r="E25" t="str">
            <v>04</v>
          </cell>
          <cell r="F25" t="str">
            <v>01</v>
          </cell>
          <cell r="G25"/>
          <cell r="H25" t="str">
            <v>Presure Switch</v>
          </cell>
          <cell r="I25">
            <v>14</v>
          </cell>
          <cell r="J25" t="str">
            <v>MiscInput</v>
          </cell>
          <cell r="K25" t="str">
            <v>Undefined</v>
          </cell>
          <cell r="L25" t="str">
            <v>0</v>
          </cell>
          <cell r="M25" t="str">
            <v>250401</v>
          </cell>
          <cell r="N25"/>
          <cell r="O25"/>
          <cell r="P25"/>
          <cell r="Q25"/>
          <cell r="R25"/>
          <cell r="S25"/>
          <cell r="T25"/>
          <cell r="U25">
            <v>1</v>
          </cell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</row>
        <row r="26">
          <cell r="A26" t="str">
            <v>Enclosures</v>
          </cell>
          <cell r="B26"/>
          <cell r="C26"/>
          <cell r="D26"/>
          <cell r="E26"/>
          <cell r="F26"/>
          <cell r="G26"/>
          <cell r="H26"/>
          <cell r="I26" t="str">
            <v/>
          </cell>
          <cell r="L26" t="str">
            <v/>
          </cell>
          <cell r="M26" t="str">
            <v/>
          </cell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</row>
        <row r="27">
          <cell r="A27" t="str">
            <v>CP1001</v>
          </cell>
          <cell r="B27"/>
          <cell r="C27"/>
          <cell r="D27" t="str">
            <v>CP</v>
          </cell>
          <cell r="E27" t="str">
            <v>10</v>
          </cell>
          <cell r="F27" t="str">
            <v>01</v>
          </cell>
          <cell r="G27"/>
          <cell r="H27" t="str">
            <v xml:space="preserve">Operator Control Panel  </v>
          </cell>
          <cell r="I27">
            <v>24</v>
          </cell>
          <cell r="L27" t="str">
            <v/>
          </cell>
          <cell r="M27" t="str">
            <v/>
          </cell>
          <cell r="N27" t="str">
            <v>ELDON</v>
          </cell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</row>
        <row r="28">
          <cell r="A28" t="str">
            <v>ES1001</v>
          </cell>
          <cell r="B28"/>
          <cell r="C28"/>
          <cell r="D28" t="str">
            <v>ES</v>
          </cell>
          <cell r="E28" t="str">
            <v>10</v>
          </cell>
          <cell r="F28" t="str">
            <v>01</v>
          </cell>
          <cell r="G28"/>
          <cell r="H28" t="str">
            <v>Operator Control Panel E-Stop</v>
          </cell>
          <cell r="I28">
            <v>29</v>
          </cell>
          <cell r="J28" t="str">
            <v>MiscInput</v>
          </cell>
          <cell r="K28" t="str">
            <v>E-Stop pushed</v>
          </cell>
          <cell r="L28" t="str">
            <v>1</v>
          </cell>
          <cell r="M28" t="str">
            <v>111001</v>
          </cell>
          <cell r="N28" t="str">
            <v>Sick</v>
          </cell>
          <cell r="O28" t="str">
            <v>SICK.6036148</v>
          </cell>
          <cell r="P28"/>
          <cell r="Q28"/>
          <cell r="R28"/>
          <cell r="S28"/>
          <cell r="T28"/>
          <cell r="U28">
            <v>2</v>
          </cell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</row>
        <row r="29">
          <cell r="A29" t="str">
            <v>ES1002</v>
          </cell>
          <cell r="B29"/>
          <cell r="C29"/>
          <cell r="D29" t="str">
            <v>ES</v>
          </cell>
          <cell r="E29" t="str">
            <v>10</v>
          </cell>
          <cell r="F29" t="str">
            <v>02</v>
          </cell>
          <cell r="G29"/>
          <cell r="H29" t="str">
            <v>Control Panel E-Stop</v>
          </cell>
          <cell r="I29">
            <v>20</v>
          </cell>
          <cell r="J29" t="str">
            <v>MiscInput</v>
          </cell>
          <cell r="K29" t="str">
            <v>E-Stop pushed</v>
          </cell>
          <cell r="L29" t="str">
            <v>1</v>
          </cell>
          <cell r="M29" t="str">
            <v>111002</v>
          </cell>
          <cell r="N29" t="str">
            <v>Sick</v>
          </cell>
          <cell r="O29" t="str">
            <v>SICK.6036149</v>
          </cell>
          <cell r="P29"/>
          <cell r="Q29"/>
          <cell r="R29"/>
          <cell r="S29"/>
          <cell r="T29"/>
          <cell r="U29">
            <v>2</v>
          </cell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</row>
        <row r="30">
          <cell r="A30" t="str">
            <v>ES1201</v>
          </cell>
          <cell r="B30"/>
          <cell r="C30"/>
          <cell r="D30" t="str">
            <v>ES</v>
          </cell>
          <cell r="E30" t="str">
            <v>12</v>
          </cell>
          <cell r="F30" t="str">
            <v>01</v>
          </cell>
          <cell r="G30"/>
          <cell r="H30" t="str">
            <v>Chasiss E-Stop</v>
          </cell>
          <cell r="I30">
            <v>14</v>
          </cell>
          <cell r="J30" t="str">
            <v>MiscInput</v>
          </cell>
          <cell r="K30" t="str">
            <v>E-Stop pushed</v>
          </cell>
          <cell r="L30" t="str">
            <v>1</v>
          </cell>
          <cell r="M30" t="str">
            <v>111201</v>
          </cell>
          <cell r="N30" t="str">
            <v>Sick</v>
          </cell>
          <cell r="O30" t="str">
            <v>SICK.6036149</v>
          </cell>
          <cell r="P30"/>
          <cell r="Q30"/>
          <cell r="R30"/>
          <cell r="S30"/>
          <cell r="T30"/>
          <cell r="U30">
            <v>2</v>
          </cell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</row>
        <row r="31">
          <cell r="A31" t="str">
            <v>Magazine</v>
          </cell>
          <cell r="B31"/>
          <cell r="C31"/>
          <cell r="D31"/>
          <cell r="E31"/>
          <cell r="F31"/>
          <cell r="G31"/>
          <cell r="I31" t="str">
            <v/>
          </cell>
          <cell r="L31" t="str">
            <v/>
          </cell>
          <cell r="M31" t="str">
            <v/>
          </cell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</row>
        <row r="32">
          <cell r="A32" t="str">
            <v>PE1401</v>
          </cell>
          <cell r="B32"/>
          <cell r="C32"/>
          <cell r="D32" t="str">
            <v>PE</v>
          </cell>
          <cell r="E32" t="str">
            <v>14</v>
          </cell>
          <cell r="F32" t="str">
            <v>01</v>
          </cell>
          <cell r="G32"/>
          <cell r="H32" t="str">
            <v>Magazine Low level detect Eye</v>
          </cell>
          <cell r="I32">
            <v>29</v>
          </cell>
          <cell r="J32" t="str">
            <v>MiscInput</v>
          </cell>
          <cell r="K32" t="str">
            <v>Sensor Fault</v>
          </cell>
          <cell r="L32">
            <v>1004</v>
          </cell>
          <cell r="M32" t="str">
            <v>151401</v>
          </cell>
          <cell r="N32" t="str">
            <v>Sick</v>
          </cell>
          <cell r="O32" t="str">
            <v>GTB6-P4231</v>
          </cell>
          <cell r="P32">
            <v>1079712</v>
          </cell>
          <cell r="Q32" t="str">
            <v>ESG 32AH1000-PL</v>
          </cell>
          <cell r="R32"/>
          <cell r="S32"/>
          <cell r="T32"/>
          <cell r="U32">
            <v>1</v>
          </cell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</row>
        <row r="33">
          <cell r="A33" t="str">
            <v>Bottom Taping Unit</v>
          </cell>
          <cell r="B33"/>
          <cell r="C33"/>
          <cell r="D33"/>
          <cell r="E33"/>
          <cell r="F33"/>
          <cell r="G33"/>
          <cell r="H33"/>
          <cell r="L33"/>
          <cell r="M33"/>
          <cell r="N33"/>
          <cell r="O33"/>
          <cell r="P33"/>
          <cell r="Q33"/>
          <cell r="R33"/>
          <cell r="S33"/>
          <cell r="T33"/>
          <cell r="U33"/>
        </row>
        <row r="34">
          <cell r="A34" t="str">
            <v>PE2201</v>
          </cell>
          <cell r="B34"/>
          <cell r="C34"/>
          <cell r="D34" t="str">
            <v>PE</v>
          </cell>
          <cell r="E34" t="str">
            <v>22</v>
          </cell>
          <cell r="F34" t="str">
            <v>01</v>
          </cell>
          <cell r="G34"/>
          <cell r="H34" t="str">
            <v>Bottom Tape Low level Eye</v>
          </cell>
          <cell r="I34">
            <v>25</v>
          </cell>
          <cell r="J34" t="str">
            <v>MiscInput</v>
          </cell>
          <cell r="K34" t="str">
            <v>Sensor Fault</v>
          </cell>
          <cell r="L34">
            <v>1004</v>
          </cell>
          <cell r="M34" t="str">
            <v>152201</v>
          </cell>
          <cell r="N34" t="str">
            <v>Sick</v>
          </cell>
          <cell r="O34" t="str">
            <v>GTB6-P4231</v>
          </cell>
          <cell r="P34">
            <v>1079712</v>
          </cell>
          <cell r="Q34" t="str">
            <v>ESG 32AH1000-PL</v>
          </cell>
          <cell r="R34"/>
          <cell r="S34"/>
          <cell r="T34"/>
          <cell r="U34">
            <v>1</v>
          </cell>
        </row>
        <row r="35">
          <cell r="A35" t="str">
            <v>Collation Unit</v>
          </cell>
          <cell r="B35"/>
          <cell r="C35"/>
          <cell r="D35"/>
          <cell r="E35"/>
          <cell r="F35"/>
          <cell r="G35"/>
          <cell r="H35"/>
          <cell r="I35" t="str">
            <v/>
          </cell>
          <cell r="L35" t="str">
            <v/>
          </cell>
          <cell r="M35" t="str">
            <v/>
          </cell>
          <cell r="N35"/>
          <cell r="O35"/>
          <cell r="P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C35"/>
          <cell r="AD35"/>
          <cell r="AE35"/>
          <cell r="AF35"/>
          <cell r="AG35"/>
        </row>
        <row r="36">
          <cell r="A36" t="str">
            <v>CY2301</v>
          </cell>
          <cell r="B36"/>
          <cell r="C36"/>
          <cell r="D36" t="str">
            <v>CY</v>
          </cell>
          <cell r="E36" t="str">
            <v>23</v>
          </cell>
          <cell r="F36" t="str">
            <v>01</v>
          </cell>
          <cell r="G36"/>
          <cell r="H36" t="str">
            <v>Matrix Side Shift Cyl</v>
          </cell>
          <cell r="I36">
            <v>21</v>
          </cell>
          <cell r="J36" t="str">
            <v>Cylinder</v>
          </cell>
          <cell r="K36" t="str">
            <v>Cylinder Fault</v>
          </cell>
          <cell r="L36">
            <v>1000</v>
          </cell>
          <cell r="M36" t="str">
            <v>132301</v>
          </cell>
          <cell r="N36" t="str">
            <v>Festo</v>
          </cell>
          <cell r="O36"/>
          <cell r="P36"/>
          <cell r="R36"/>
          <cell r="S36"/>
          <cell r="T36">
            <v>2</v>
          </cell>
          <cell r="U36">
            <v>1</v>
          </cell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</row>
        <row r="37">
          <cell r="A37" t="str">
            <v>CY2302</v>
          </cell>
          <cell r="B37"/>
          <cell r="C37"/>
          <cell r="D37" t="str">
            <v>CY</v>
          </cell>
          <cell r="E37" t="str">
            <v>23</v>
          </cell>
          <cell r="F37" t="str">
            <v>02</v>
          </cell>
          <cell r="G37"/>
          <cell r="H37" t="str">
            <v>Stopper Cyl</v>
          </cell>
          <cell r="I37">
            <v>11</v>
          </cell>
          <cell r="J37" t="str">
            <v>Cylinder</v>
          </cell>
          <cell r="K37" t="str">
            <v>Cylinder Fault</v>
          </cell>
          <cell r="L37">
            <v>1000</v>
          </cell>
          <cell r="M37" t="str">
            <v>132302</v>
          </cell>
          <cell r="N37" t="str">
            <v>Festo</v>
          </cell>
          <cell r="O37"/>
          <cell r="P37"/>
          <cell r="R37"/>
          <cell r="S37"/>
          <cell r="T37">
            <v>2</v>
          </cell>
          <cell r="U37">
            <v>1</v>
          </cell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</row>
        <row r="38">
          <cell r="A38" t="str">
            <v>PE2301</v>
          </cell>
          <cell r="B38"/>
          <cell r="C38"/>
          <cell r="D38" t="str">
            <v>PE</v>
          </cell>
          <cell r="E38" t="str">
            <v>23</v>
          </cell>
          <cell r="F38" t="str">
            <v>01</v>
          </cell>
          <cell r="G38"/>
          <cell r="H38" t="str">
            <v>Matrix on Table Eye</v>
          </cell>
          <cell r="I38">
            <v>19</v>
          </cell>
          <cell r="J38" t="str">
            <v>MiscInput</v>
          </cell>
          <cell r="K38" t="str">
            <v>Sensor Fault</v>
          </cell>
          <cell r="L38">
            <v>1004</v>
          </cell>
          <cell r="M38" t="str">
            <v>152301</v>
          </cell>
          <cell r="N38" t="str">
            <v>Sick</v>
          </cell>
          <cell r="O38" t="str">
            <v>GTB6-P4231</v>
          </cell>
          <cell r="P38">
            <v>1079712</v>
          </cell>
          <cell r="Q38" t="str">
            <v>ESG 32AH1000-PL</v>
          </cell>
          <cell r="R38"/>
          <cell r="S38"/>
          <cell r="T38"/>
          <cell r="U38">
            <v>1</v>
          </cell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</row>
        <row r="39">
          <cell r="A39" t="str">
            <v>Infeed Conveyor 1 (Modular Belt Conveyor 1)</v>
          </cell>
          <cell r="B39"/>
          <cell r="C39"/>
          <cell r="D39"/>
          <cell r="E39"/>
          <cell r="I39" t="str">
            <v/>
          </cell>
          <cell r="L39" t="str">
            <v/>
          </cell>
          <cell r="M39" t="str">
            <v/>
          </cell>
          <cell r="O39"/>
          <cell r="P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</row>
        <row r="40">
          <cell r="A40" t="str">
            <v>MO1801</v>
          </cell>
          <cell r="B40"/>
          <cell r="C40"/>
          <cell r="D40" t="str">
            <v>MO</v>
          </cell>
          <cell r="E40" t="str">
            <v>18</v>
          </cell>
          <cell r="F40" t="str">
            <v>01</v>
          </cell>
          <cell r="G40"/>
          <cell r="H40" t="str">
            <v>Infeed Conveyor 1</v>
          </cell>
          <cell r="I40">
            <v>17</v>
          </cell>
          <cell r="J40" t="str">
            <v>Motor</v>
          </cell>
          <cell r="K40" t="str">
            <v>Electrical Overload</v>
          </cell>
          <cell r="L40">
            <v>258</v>
          </cell>
          <cell r="M40" t="str">
            <v>181801</v>
          </cell>
          <cell r="N40" t="str">
            <v>Bonfiglioli</v>
          </cell>
          <cell r="O40"/>
          <cell r="P40"/>
          <cell r="R40"/>
          <cell r="S40"/>
          <cell r="T40">
            <v>1</v>
          </cell>
          <cell r="U40">
            <v>1</v>
          </cell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</row>
        <row r="41">
          <cell r="A41" t="str">
            <v>SC1801</v>
          </cell>
          <cell r="B41"/>
          <cell r="C41"/>
          <cell r="D41" t="str">
            <v>SC</v>
          </cell>
          <cell r="E41" t="str">
            <v>18</v>
          </cell>
          <cell r="F41" t="str">
            <v>01</v>
          </cell>
          <cell r="G41"/>
          <cell r="H41" t="str">
            <v>Infeed Conveyor Drive 1</v>
          </cell>
          <cell r="I41">
            <v>23</v>
          </cell>
          <cell r="J41" t="str">
            <v>VSD</v>
          </cell>
          <cell r="K41" t="str">
            <v>Drive Fault</v>
          </cell>
          <cell r="L41">
            <v>260</v>
          </cell>
          <cell r="M41" t="str">
            <v>171801</v>
          </cell>
          <cell r="N41" t="str">
            <v>Rexroth</v>
          </cell>
          <cell r="O41" t="str">
            <v>VFC-3210-0K75-3P4</v>
          </cell>
          <cell r="P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C41"/>
          <cell r="AD41"/>
          <cell r="AE41"/>
          <cell r="AF41"/>
          <cell r="AG41"/>
        </row>
        <row r="42">
          <cell r="A42" t="str">
            <v>PE1801</v>
          </cell>
          <cell r="B42"/>
          <cell r="C42"/>
          <cell r="D42" t="str">
            <v>PE</v>
          </cell>
          <cell r="E42" t="str">
            <v>18</v>
          </cell>
          <cell r="F42" t="str">
            <v>01</v>
          </cell>
          <cell r="G42"/>
          <cell r="H42" t="str">
            <v>Product Detect @ stopper</v>
          </cell>
          <cell r="I42">
            <v>24</v>
          </cell>
          <cell r="J42" t="str">
            <v>MiscInput</v>
          </cell>
          <cell r="K42" t="str">
            <v>Sensor Fault</v>
          </cell>
          <cell r="L42">
            <v>1004</v>
          </cell>
          <cell r="M42" t="str">
            <v>151801</v>
          </cell>
          <cell r="N42" t="str">
            <v>Sick</v>
          </cell>
          <cell r="O42" t="str">
            <v>GTB6-P4231</v>
          </cell>
          <cell r="P42">
            <v>1079712</v>
          </cell>
          <cell r="Q42" t="str">
            <v>ESG 32AH1000-PL</v>
          </cell>
          <cell r="R42"/>
          <cell r="S42"/>
          <cell r="T42"/>
          <cell r="U42">
            <v>1</v>
          </cell>
          <cell r="V42"/>
          <cell r="W42"/>
          <cell r="X42"/>
          <cell r="Y42"/>
          <cell r="Z42"/>
          <cell r="AA42"/>
          <cell r="AB42"/>
          <cell r="AC42"/>
          <cell r="AD42"/>
          <cell r="AE42"/>
          <cell r="AF42"/>
          <cell r="AG42"/>
        </row>
        <row r="43">
          <cell r="A43" t="str">
            <v>PE1802</v>
          </cell>
          <cell r="B43"/>
          <cell r="C43"/>
          <cell r="D43" t="str">
            <v>PE</v>
          </cell>
          <cell r="E43" t="str">
            <v>18</v>
          </cell>
          <cell r="F43" t="str">
            <v>02</v>
          </cell>
          <cell r="G43"/>
          <cell r="H43" t="str">
            <v>Product Detect @ clamp</v>
          </cell>
          <cell r="I43">
            <v>22</v>
          </cell>
          <cell r="J43" t="str">
            <v>MiscInput</v>
          </cell>
          <cell r="K43" t="str">
            <v>Sensor Fault</v>
          </cell>
          <cell r="L43">
            <v>1004</v>
          </cell>
          <cell r="M43" t="str">
            <v>151802</v>
          </cell>
          <cell r="N43" t="str">
            <v>Sick</v>
          </cell>
          <cell r="O43" t="str">
            <v>GTB6-P4231</v>
          </cell>
          <cell r="P43">
            <v>1079712</v>
          </cell>
          <cell r="Q43" t="str">
            <v>ESG 32AH1000-PL</v>
          </cell>
          <cell r="R43"/>
          <cell r="S43"/>
          <cell r="T43"/>
          <cell r="U43">
            <v>1</v>
          </cell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/>
        </row>
        <row r="44">
          <cell r="A44" t="str">
            <v>PE1803</v>
          </cell>
          <cell r="B44"/>
          <cell r="C44"/>
          <cell r="D44" t="str">
            <v>PE</v>
          </cell>
          <cell r="E44" t="str">
            <v>18</v>
          </cell>
          <cell r="F44" t="str">
            <v>03</v>
          </cell>
          <cell r="G44"/>
          <cell r="H44" t="str">
            <v>Product Detect @ topple</v>
          </cell>
          <cell r="I44">
            <v>23</v>
          </cell>
          <cell r="J44" t="str">
            <v>MiscInput</v>
          </cell>
          <cell r="K44" t="str">
            <v>Sensor Fault</v>
          </cell>
          <cell r="L44">
            <v>1004</v>
          </cell>
          <cell r="M44" t="str">
            <v>151803</v>
          </cell>
          <cell r="N44" t="str">
            <v>Sick</v>
          </cell>
          <cell r="O44" t="str">
            <v>GTB6-P4231</v>
          </cell>
          <cell r="P44">
            <v>1079712</v>
          </cell>
          <cell r="Q44" t="str">
            <v>ESG 32AH1000-PL</v>
          </cell>
          <cell r="R44"/>
          <cell r="S44"/>
          <cell r="T44"/>
          <cell r="U44">
            <v>1</v>
          </cell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</row>
        <row r="45">
          <cell r="A45" t="str">
            <v>PE1804</v>
          </cell>
          <cell r="B45"/>
          <cell r="C45"/>
          <cell r="D45" t="str">
            <v>PE</v>
          </cell>
          <cell r="E45" t="str">
            <v>18</v>
          </cell>
          <cell r="F45" t="str">
            <v>04</v>
          </cell>
          <cell r="G45"/>
          <cell r="H45" t="str">
            <v>Product Detect @ topple1</v>
          </cell>
          <cell r="I45">
            <v>24</v>
          </cell>
          <cell r="J45" t="str">
            <v>MiscInput</v>
          </cell>
          <cell r="K45" t="str">
            <v>Sensor Fault</v>
          </cell>
          <cell r="L45">
            <v>1004</v>
          </cell>
          <cell r="M45" t="str">
            <v>151804</v>
          </cell>
          <cell r="N45" t="str">
            <v>Sick</v>
          </cell>
          <cell r="O45" t="str">
            <v>GTB6-P4231</v>
          </cell>
          <cell r="P45">
            <v>1079712</v>
          </cell>
          <cell r="Q45" t="str">
            <v>ESG 32AH1000-PL</v>
          </cell>
          <cell r="R45"/>
          <cell r="S45"/>
          <cell r="T45"/>
          <cell r="U45">
            <v>1</v>
          </cell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  <cell r="AG45"/>
        </row>
        <row r="46">
          <cell r="A46" t="str">
            <v>CY1801</v>
          </cell>
          <cell r="B46"/>
          <cell r="C46"/>
          <cell r="D46" t="str">
            <v>CY</v>
          </cell>
          <cell r="E46" t="str">
            <v>18</v>
          </cell>
          <cell r="F46" t="str">
            <v>01</v>
          </cell>
          <cell r="G46"/>
          <cell r="H46" t="str">
            <v>Clamp Cyl</v>
          </cell>
          <cell r="I46">
            <v>9</v>
          </cell>
          <cell r="J46" t="str">
            <v>Cylinder</v>
          </cell>
          <cell r="K46" t="str">
            <v>Cylinder Fault</v>
          </cell>
          <cell r="L46">
            <v>1000</v>
          </cell>
          <cell r="M46" t="str">
            <v>131801</v>
          </cell>
          <cell r="N46" t="str">
            <v>Festo</v>
          </cell>
          <cell r="O46"/>
          <cell r="P46"/>
          <cell r="R46"/>
          <cell r="S46"/>
          <cell r="T46">
            <v>2</v>
          </cell>
          <cell r="U46">
            <v>1</v>
          </cell>
          <cell r="V46"/>
          <cell r="W46"/>
          <cell r="X46"/>
          <cell r="Y46"/>
          <cell r="Z46"/>
          <cell r="AA46"/>
          <cell r="AB46"/>
          <cell r="AC46"/>
          <cell r="AD46"/>
          <cell r="AE46"/>
          <cell r="AF46"/>
          <cell r="AG46"/>
        </row>
        <row r="47">
          <cell r="A47" t="str">
            <v>CY1802</v>
          </cell>
          <cell r="B47"/>
          <cell r="C47"/>
          <cell r="D47" t="str">
            <v>CY</v>
          </cell>
          <cell r="E47" t="str">
            <v>18</v>
          </cell>
          <cell r="F47" t="str">
            <v>02</v>
          </cell>
          <cell r="G47"/>
          <cell r="H47" t="str">
            <v>Stopper Cyl</v>
          </cell>
          <cell r="I47">
            <v>11</v>
          </cell>
          <cell r="J47" t="str">
            <v>Cylinder</v>
          </cell>
          <cell r="K47" t="str">
            <v>Cylinder Fault</v>
          </cell>
          <cell r="L47">
            <v>1000</v>
          </cell>
          <cell r="M47" t="str">
            <v>131802</v>
          </cell>
          <cell r="N47" t="str">
            <v>Festo</v>
          </cell>
          <cell r="O47"/>
          <cell r="P47"/>
          <cell r="R47"/>
          <cell r="S47"/>
          <cell r="T47">
            <v>2</v>
          </cell>
          <cell r="U47">
            <v>1</v>
          </cell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  <cell r="AG47"/>
        </row>
        <row r="48">
          <cell r="A48" t="str">
            <v>CY1803</v>
          </cell>
          <cell r="B48"/>
          <cell r="C48"/>
          <cell r="D48" t="str">
            <v>CY</v>
          </cell>
          <cell r="E48" t="str">
            <v>18</v>
          </cell>
          <cell r="F48" t="str">
            <v>03</v>
          </cell>
          <cell r="G48"/>
          <cell r="H48" t="str">
            <v>Side Shift Cyl</v>
          </cell>
          <cell r="I48">
            <v>14</v>
          </cell>
          <cell r="J48" t="str">
            <v>Cylinder</v>
          </cell>
          <cell r="K48" t="str">
            <v>Cylinder Fault</v>
          </cell>
          <cell r="L48">
            <v>1000</v>
          </cell>
          <cell r="M48" t="str">
            <v>131803</v>
          </cell>
          <cell r="N48" t="str">
            <v>Festo</v>
          </cell>
          <cell r="O48"/>
          <cell r="P48"/>
          <cell r="R48"/>
          <cell r="S48"/>
          <cell r="T48">
            <v>2</v>
          </cell>
          <cell r="U48">
            <v>1</v>
          </cell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</row>
        <row r="49">
          <cell r="A49" t="str">
            <v>MO1802</v>
          </cell>
          <cell r="B49"/>
          <cell r="C49"/>
          <cell r="D49" t="str">
            <v>MO</v>
          </cell>
          <cell r="E49" t="str">
            <v>18</v>
          </cell>
          <cell r="F49" t="str">
            <v>02</v>
          </cell>
          <cell r="G49"/>
          <cell r="H49" t="str">
            <v>Infeed Conveyor 2</v>
          </cell>
          <cell r="I49">
            <v>17</v>
          </cell>
          <cell r="J49" t="str">
            <v>Motor</v>
          </cell>
          <cell r="K49" t="str">
            <v>Electrical Overload</v>
          </cell>
          <cell r="L49">
            <v>258</v>
          </cell>
          <cell r="M49" t="str">
            <v>181802</v>
          </cell>
          <cell r="N49"/>
          <cell r="O49"/>
          <cell r="P49"/>
          <cell r="R49"/>
          <cell r="S49"/>
          <cell r="T49">
            <v>1</v>
          </cell>
          <cell r="U49">
            <v>1</v>
          </cell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  <cell r="AG49"/>
        </row>
        <row r="50">
          <cell r="A50" t="str">
            <v>SC1802</v>
          </cell>
          <cell r="B50"/>
          <cell r="C50"/>
          <cell r="D50" t="str">
            <v>SC</v>
          </cell>
          <cell r="E50" t="str">
            <v>18</v>
          </cell>
          <cell r="F50" t="str">
            <v>02</v>
          </cell>
          <cell r="G50"/>
          <cell r="H50" t="str">
            <v>Infeed Conveyor Drive 2</v>
          </cell>
          <cell r="I50">
            <v>23</v>
          </cell>
          <cell r="J50" t="str">
            <v>VSD</v>
          </cell>
          <cell r="K50" t="str">
            <v>Drive Fault</v>
          </cell>
          <cell r="L50">
            <v>260</v>
          </cell>
          <cell r="M50" t="str">
            <v>171802</v>
          </cell>
          <cell r="N50" t="str">
            <v>Rexroth</v>
          </cell>
          <cell r="O50" t="str">
            <v>VFC-3210-0K75-3P4</v>
          </cell>
          <cell r="P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/>
          <cell r="AE50"/>
          <cell r="AF50"/>
          <cell r="AG50"/>
        </row>
        <row r="51">
          <cell r="A51" t="str">
            <v>MO1803</v>
          </cell>
          <cell r="B51"/>
          <cell r="C51"/>
          <cell r="D51" t="str">
            <v>MO</v>
          </cell>
          <cell r="E51" t="str">
            <v>18</v>
          </cell>
          <cell r="F51" t="str">
            <v>03</v>
          </cell>
          <cell r="G51"/>
          <cell r="H51" t="str">
            <v>Infeed Conveyor 3</v>
          </cell>
          <cell r="I51">
            <v>17</v>
          </cell>
          <cell r="J51" t="str">
            <v>Motor</v>
          </cell>
          <cell r="K51" t="str">
            <v>Electrical Overload</v>
          </cell>
          <cell r="L51">
            <v>258</v>
          </cell>
          <cell r="M51" t="str">
            <v>181803</v>
          </cell>
          <cell r="N51"/>
          <cell r="O51"/>
          <cell r="P51"/>
          <cell r="R51"/>
          <cell r="S51"/>
          <cell r="T51">
            <v>1</v>
          </cell>
          <cell r="U51">
            <v>1</v>
          </cell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</row>
        <row r="52">
          <cell r="A52" t="str">
            <v>SC1803</v>
          </cell>
          <cell r="B52"/>
          <cell r="C52"/>
          <cell r="D52" t="str">
            <v>SC</v>
          </cell>
          <cell r="E52" t="str">
            <v>18</v>
          </cell>
          <cell r="F52" t="str">
            <v>03</v>
          </cell>
          <cell r="G52"/>
          <cell r="H52" t="str">
            <v>Infeed Conveyor Drive 3</v>
          </cell>
          <cell r="I52">
            <v>23</v>
          </cell>
          <cell r="J52" t="str">
            <v>VSD</v>
          </cell>
          <cell r="K52" t="str">
            <v>Drive Fault</v>
          </cell>
          <cell r="L52">
            <v>260</v>
          </cell>
          <cell r="M52" t="str">
            <v>171803</v>
          </cell>
          <cell r="N52" t="str">
            <v>Rexroth</v>
          </cell>
          <cell r="O52" t="str">
            <v>VFC-3210-0K75-3P4</v>
          </cell>
          <cell r="P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</row>
        <row r="53">
          <cell r="A53" t="str">
            <v>Cobot with base 1</v>
          </cell>
          <cell r="B53"/>
          <cell r="C53"/>
          <cell r="D53"/>
          <cell r="E53"/>
          <cell r="F53"/>
          <cell r="G53"/>
          <cell r="H53"/>
          <cell r="I53" t="str">
            <v/>
          </cell>
          <cell r="J53"/>
          <cell r="L53" t="str">
            <v/>
          </cell>
          <cell r="M53" t="str">
            <v/>
          </cell>
          <cell r="N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</row>
        <row r="54">
          <cell r="A54" t="str">
            <v>XC4101</v>
          </cell>
          <cell r="B54"/>
          <cell r="C54"/>
          <cell r="D54" t="str">
            <v>XC</v>
          </cell>
          <cell r="E54" t="str">
            <v>41</v>
          </cell>
          <cell r="F54" t="str">
            <v>01</v>
          </cell>
          <cell r="G54"/>
          <cell r="H54" t="str">
            <v xml:space="preserve">Cobot </v>
          </cell>
          <cell r="I54">
            <v>6</v>
          </cell>
          <cell r="J54"/>
          <cell r="L54" t="str">
            <v/>
          </cell>
          <cell r="M54" t="str">
            <v/>
          </cell>
          <cell r="N54" t="str">
            <v>Fanuc</v>
          </cell>
          <cell r="O54"/>
          <cell r="P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</row>
        <row r="55">
          <cell r="A55" t="str">
            <v>SV2501</v>
          </cell>
          <cell r="B55"/>
          <cell r="C55"/>
          <cell r="D55" t="str">
            <v>SV</v>
          </cell>
          <cell r="E55" t="str">
            <v>25</v>
          </cell>
          <cell r="F55" t="str">
            <v>01</v>
          </cell>
          <cell r="G55"/>
          <cell r="H55" t="str">
            <v>Solenoid Valve for robot1</v>
          </cell>
          <cell r="I55">
            <v>25</v>
          </cell>
          <cell r="J55" t="str">
            <v>MiscOutput</v>
          </cell>
          <cell r="K55" t="str">
            <v>Undefined</v>
          </cell>
          <cell r="L55" t="str">
            <v>0</v>
          </cell>
          <cell r="M55" t="str">
            <v>142501</v>
          </cell>
          <cell r="N55" t="str">
            <v>Festo</v>
          </cell>
          <cell r="O55"/>
          <cell r="P55"/>
          <cell r="R55"/>
          <cell r="S55"/>
          <cell r="T55">
            <v>1</v>
          </cell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</row>
        <row r="56">
          <cell r="A56" t="str">
            <v>SV2502</v>
          </cell>
          <cell r="B56"/>
          <cell r="C56"/>
          <cell r="D56" t="str">
            <v>SV</v>
          </cell>
          <cell r="E56" t="str">
            <v>25</v>
          </cell>
          <cell r="F56" t="str">
            <v>02</v>
          </cell>
          <cell r="G56"/>
          <cell r="H56" t="str">
            <v>Solenoid Valve for robot2</v>
          </cell>
          <cell r="I56">
            <v>25</v>
          </cell>
          <cell r="J56" t="str">
            <v>MiscOutput</v>
          </cell>
          <cell r="K56" t="str">
            <v>Undefined</v>
          </cell>
          <cell r="L56" t="str">
            <v>0</v>
          </cell>
          <cell r="M56" t="str">
            <v>142502</v>
          </cell>
          <cell r="N56" t="str">
            <v>Festo</v>
          </cell>
          <cell r="O56"/>
          <cell r="P56"/>
          <cell r="R56"/>
          <cell r="S56"/>
          <cell r="T56">
            <v>1</v>
          </cell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</row>
        <row r="57">
          <cell r="A57" t="str">
            <v>SV2503</v>
          </cell>
          <cell r="B57"/>
          <cell r="C57"/>
          <cell r="D57" t="str">
            <v>SV</v>
          </cell>
          <cell r="E57" t="str">
            <v>25</v>
          </cell>
          <cell r="F57" t="str">
            <v>03</v>
          </cell>
          <cell r="G57"/>
          <cell r="H57" t="str">
            <v>Solenoid Valve for robot3</v>
          </cell>
          <cell r="I57">
            <v>25</v>
          </cell>
          <cell r="J57" t="str">
            <v>MiscOutput</v>
          </cell>
          <cell r="K57" t="str">
            <v>Undefined</v>
          </cell>
          <cell r="L57" t="str">
            <v>0</v>
          </cell>
          <cell r="M57" t="str">
            <v>142503</v>
          </cell>
          <cell r="N57" t="str">
            <v>Festo</v>
          </cell>
          <cell r="O57"/>
          <cell r="P57"/>
          <cell r="R57"/>
          <cell r="S57"/>
          <cell r="T57">
            <v>1</v>
          </cell>
          <cell r="U57"/>
          <cell r="V57"/>
          <cell r="W57"/>
          <cell r="X57"/>
          <cell r="Y57"/>
          <cell r="Z57"/>
          <cell r="AA57"/>
          <cell r="AB57"/>
          <cell r="AC57"/>
          <cell r="AD57"/>
          <cell r="AE57"/>
          <cell r="AF57"/>
          <cell r="AG57"/>
        </row>
        <row r="58">
          <cell r="A58" t="str">
            <v>CY2501</v>
          </cell>
          <cell r="B58"/>
          <cell r="C58"/>
          <cell r="D58" t="str">
            <v>CY</v>
          </cell>
          <cell r="E58" t="str">
            <v>25</v>
          </cell>
          <cell r="F58" t="str">
            <v>01</v>
          </cell>
          <cell r="G58"/>
          <cell r="H58" t="str">
            <v>Pickhead cylinder 1</v>
          </cell>
          <cell r="I58">
            <v>19</v>
          </cell>
          <cell r="J58" t="str">
            <v>Cylinder</v>
          </cell>
          <cell r="K58" t="str">
            <v>Cylinder Fault</v>
          </cell>
          <cell r="L58">
            <v>1000</v>
          </cell>
          <cell r="M58" t="str">
            <v>132501</v>
          </cell>
          <cell r="N58" t="str">
            <v>Festo</v>
          </cell>
          <cell r="O58"/>
          <cell r="P58"/>
          <cell r="Q58"/>
          <cell r="R58"/>
          <cell r="S58"/>
          <cell r="T58">
            <v>2</v>
          </cell>
          <cell r="U58">
            <v>2</v>
          </cell>
        </row>
        <row r="59">
          <cell r="A59" t="str">
            <v>CY2502</v>
          </cell>
          <cell r="B59"/>
          <cell r="C59"/>
          <cell r="D59" t="str">
            <v>CY</v>
          </cell>
          <cell r="E59" t="str">
            <v>25</v>
          </cell>
          <cell r="F59" t="str">
            <v>02</v>
          </cell>
          <cell r="G59"/>
          <cell r="H59" t="str">
            <v>Pickhead cylinder 2</v>
          </cell>
          <cell r="I59">
            <v>19</v>
          </cell>
          <cell r="J59" t="str">
            <v>Cylinder</v>
          </cell>
          <cell r="K59" t="str">
            <v>Cylinder Fault</v>
          </cell>
          <cell r="L59">
            <v>1000</v>
          </cell>
          <cell r="M59" t="str">
            <v>132502</v>
          </cell>
          <cell r="N59" t="str">
            <v>Festo</v>
          </cell>
          <cell r="O59"/>
          <cell r="P59"/>
          <cell r="Q59"/>
          <cell r="R59"/>
          <cell r="S59"/>
          <cell r="T59">
            <v>2</v>
          </cell>
          <cell r="U59">
            <v>2</v>
          </cell>
        </row>
        <row r="60">
          <cell r="A60" t="str">
            <v>CY2503</v>
          </cell>
          <cell r="B60"/>
          <cell r="C60"/>
          <cell r="D60" t="str">
            <v>CY</v>
          </cell>
          <cell r="E60" t="str">
            <v>25</v>
          </cell>
          <cell r="F60" t="str">
            <v>03</v>
          </cell>
          <cell r="G60"/>
          <cell r="H60" t="str">
            <v>Pusher cylinder</v>
          </cell>
          <cell r="I60">
            <v>15</v>
          </cell>
          <cell r="J60" t="str">
            <v>Cylinder</v>
          </cell>
          <cell r="K60" t="str">
            <v>Cylinder Fault</v>
          </cell>
          <cell r="L60">
            <v>1000</v>
          </cell>
          <cell r="M60" t="str">
            <v>132503</v>
          </cell>
          <cell r="N60" t="str">
            <v>Festo</v>
          </cell>
          <cell r="O60"/>
          <cell r="P60"/>
          <cell r="Q60"/>
          <cell r="R60"/>
          <cell r="S60"/>
          <cell r="T60"/>
          <cell r="U60"/>
        </row>
        <row r="61">
          <cell r="A61" t="str">
            <v>CY2504</v>
          </cell>
          <cell r="B61"/>
          <cell r="C61"/>
          <cell r="D61" t="str">
            <v>CY</v>
          </cell>
          <cell r="E61" t="str">
            <v>25</v>
          </cell>
          <cell r="F61" t="str">
            <v>04</v>
          </cell>
          <cell r="G61"/>
          <cell r="H61" t="str">
            <v>Shipper holding Cy</v>
          </cell>
          <cell r="I61">
            <v>18</v>
          </cell>
          <cell r="J61" t="str">
            <v>Cylinder</v>
          </cell>
          <cell r="K61" t="str">
            <v>Cylinder Fault</v>
          </cell>
          <cell r="L61">
            <v>1000</v>
          </cell>
          <cell r="M61" t="str">
            <v>132504</v>
          </cell>
          <cell r="N61" t="str">
            <v>Festo</v>
          </cell>
          <cell r="O61"/>
          <cell r="P61"/>
          <cell r="Q61"/>
          <cell r="R61"/>
          <cell r="S61"/>
          <cell r="T61"/>
          <cell r="U61"/>
        </row>
        <row r="62">
          <cell r="A62" t="str">
            <v>CY2505</v>
          </cell>
          <cell r="B62"/>
          <cell r="C62"/>
          <cell r="D62" t="str">
            <v>CY</v>
          </cell>
          <cell r="E62" t="str">
            <v>25</v>
          </cell>
          <cell r="F62" t="str">
            <v>05</v>
          </cell>
          <cell r="G62"/>
          <cell r="H62" t="str">
            <v>Shipper holding Cy 1</v>
          </cell>
          <cell r="I62">
            <v>20</v>
          </cell>
          <cell r="J62" t="str">
            <v>Cylinder</v>
          </cell>
          <cell r="K62" t="str">
            <v>Cylinder Fault</v>
          </cell>
          <cell r="L62">
            <v>1000</v>
          </cell>
          <cell r="M62" t="str">
            <v>132505</v>
          </cell>
          <cell r="N62" t="str">
            <v>Festo</v>
          </cell>
          <cell r="O62"/>
          <cell r="P62"/>
          <cell r="Q62"/>
          <cell r="R62"/>
          <cell r="S62"/>
          <cell r="T62"/>
          <cell r="U62"/>
        </row>
        <row r="63">
          <cell r="A63" t="str">
            <v>CY2506</v>
          </cell>
          <cell r="B63"/>
          <cell r="C63"/>
          <cell r="D63" t="str">
            <v>CY</v>
          </cell>
          <cell r="E63" t="str">
            <v>25</v>
          </cell>
          <cell r="F63" t="str">
            <v>06</v>
          </cell>
          <cell r="G63"/>
          <cell r="H63" t="str">
            <v>Shipper flap opener Cy</v>
          </cell>
          <cell r="I63">
            <v>22</v>
          </cell>
          <cell r="J63" t="str">
            <v>Cylinder</v>
          </cell>
          <cell r="K63" t="str">
            <v>Cylinder Fault</v>
          </cell>
          <cell r="L63">
            <v>1000</v>
          </cell>
          <cell r="M63" t="str">
            <v>132506</v>
          </cell>
          <cell r="N63" t="str">
            <v>Festo</v>
          </cell>
          <cell r="O63"/>
          <cell r="P63"/>
          <cell r="Q63"/>
          <cell r="R63"/>
          <cell r="S63"/>
          <cell r="T63"/>
          <cell r="U63"/>
        </row>
        <row r="64">
          <cell r="A64" t="str">
            <v>CY2507</v>
          </cell>
          <cell r="B64"/>
          <cell r="C64"/>
          <cell r="D64" t="str">
            <v>CY</v>
          </cell>
          <cell r="E64" t="str">
            <v>25</v>
          </cell>
          <cell r="F64" t="str">
            <v>07</v>
          </cell>
          <cell r="G64"/>
          <cell r="H64" t="str">
            <v>Shipper flap opener Cy1</v>
          </cell>
          <cell r="I64">
            <v>23</v>
          </cell>
          <cell r="J64" t="str">
            <v>Cylinder</v>
          </cell>
          <cell r="K64" t="str">
            <v>Cylinder Fault</v>
          </cell>
          <cell r="L64">
            <v>1000</v>
          </cell>
          <cell r="M64" t="str">
            <v>132507</v>
          </cell>
          <cell r="N64" t="str">
            <v>Festo</v>
          </cell>
          <cell r="O64"/>
          <cell r="P64"/>
          <cell r="Q64"/>
          <cell r="R64"/>
          <cell r="S64"/>
          <cell r="T64"/>
          <cell r="U64"/>
        </row>
        <row r="65">
          <cell r="A65" t="str">
            <v>PS2501</v>
          </cell>
          <cell r="B65"/>
          <cell r="C65"/>
          <cell r="D65" t="str">
            <v>PS</v>
          </cell>
          <cell r="E65" t="str">
            <v>25</v>
          </cell>
          <cell r="F65" t="str">
            <v>01</v>
          </cell>
          <cell r="G65"/>
          <cell r="H65" t="str">
            <v>Vacuum Switch for Robot</v>
          </cell>
          <cell r="I65">
            <v>23</v>
          </cell>
          <cell r="J65" t="str">
            <v>MiscInput</v>
          </cell>
          <cell r="K65" t="str">
            <v>Sensor Fault</v>
          </cell>
          <cell r="L65">
            <v>1004</v>
          </cell>
          <cell r="M65" t="str">
            <v>252501</v>
          </cell>
          <cell r="N65" t="str">
            <v>Festo</v>
          </cell>
          <cell r="O65"/>
          <cell r="P65"/>
          <cell r="R65"/>
          <cell r="S65"/>
          <cell r="T65"/>
          <cell r="U65">
            <v>1</v>
          </cell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</row>
        <row r="66">
          <cell r="A66" t="str">
            <v>PE2501</v>
          </cell>
          <cell r="B66"/>
          <cell r="C66"/>
          <cell r="D66" t="str">
            <v>PE</v>
          </cell>
          <cell r="E66" t="str">
            <v>25</v>
          </cell>
          <cell r="F66" t="str">
            <v>01</v>
          </cell>
          <cell r="G66"/>
          <cell r="H66" t="str">
            <v>Shipper At loading station Eye</v>
          </cell>
          <cell r="I66">
            <v>30</v>
          </cell>
          <cell r="J66" t="str">
            <v>MiscInput</v>
          </cell>
          <cell r="K66" t="str">
            <v>Sensor Fault</v>
          </cell>
          <cell r="L66">
            <v>1004</v>
          </cell>
          <cell r="M66" t="str">
            <v>152501</v>
          </cell>
          <cell r="N66" t="str">
            <v>Sick</v>
          </cell>
          <cell r="O66" t="str">
            <v>GTB6-P4231</v>
          </cell>
          <cell r="P66">
            <v>1079712</v>
          </cell>
          <cell r="Q66" t="str">
            <v>ESG 32AH1000-PL</v>
          </cell>
          <cell r="R66"/>
          <cell r="S66"/>
          <cell r="T66"/>
          <cell r="U66">
            <v>1</v>
          </cell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</row>
        <row r="67">
          <cell r="A67" t="str">
            <v>PE2502</v>
          </cell>
          <cell r="B67"/>
          <cell r="C67"/>
          <cell r="D67" t="str">
            <v>PE</v>
          </cell>
          <cell r="E67" t="str">
            <v>25</v>
          </cell>
          <cell r="F67" t="str">
            <v>02</v>
          </cell>
          <cell r="G67"/>
          <cell r="H67" t="str">
            <v>Shipper At Picking station Eye</v>
          </cell>
          <cell r="I67">
            <v>30</v>
          </cell>
          <cell r="J67" t="str">
            <v>MiscInput</v>
          </cell>
          <cell r="K67" t="str">
            <v>Sensor Fault</v>
          </cell>
          <cell r="L67">
            <v>1004</v>
          </cell>
          <cell r="M67" t="str">
            <v>152502</v>
          </cell>
          <cell r="N67" t="str">
            <v>Sick</v>
          </cell>
          <cell r="O67" t="str">
            <v>GTB6-P4232</v>
          </cell>
          <cell r="P67">
            <v>1079713</v>
          </cell>
          <cell r="Q67" t="str">
            <v>ESG 32AH1000-PL</v>
          </cell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</row>
        <row r="68">
          <cell r="A68" t="str">
            <v>Label Conveyor</v>
          </cell>
          <cell r="B68"/>
          <cell r="C68"/>
          <cell r="D68"/>
          <cell r="E68"/>
          <cell r="F68"/>
          <cell r="G68"/>
          <cell r="H68"/>
          <cell r="I68" t="str">
            <v/>
          </cell>
          <cell r="J68"/>
          <cell r="K68"/>
          <cell r="L68" t="str">
            <v/>
          </cell>
          <cell r="M68" t="str">
            <v/>
          </cell>
          <cell r="N68"/>
          <cell r="O68"/>
          <cell r="P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</row>
        <row r="69">
          <cell r="A69" t="str">
            <v>MO3401</v>
          </cell>
          <cell r="B69"/>
          <cell r="C69"/>
          <cell r="D69" t="str">
            <v>MO</v>
          </cell>
          <cell r="E69" t="str">
            <v>34</v>
          </cell>
          <cell r="F69" t="str">
            <v>01</v>
          </cell>
          <cell r="G69"/>
          <cell r="H69" t="str">
            <v>Labelling Conveyor motor</v>
          </cell>
          <cell r="I69">
            <v>24</v>
          </cell>
          <cell r="J69" t="str">
            <v>Motor</v>
          </cell>
          <cell r="K69" t="str">
            <v>Electrical Overload</v>
          </cell>
          <cell r="L69">
            <v>258</v>
          </cell>
          <cell r="M69" t="str">
            <v>183401</v>
          </cell>
          <cell r="N69" t="str">
            <v>Bonfiglioli</v>
          </cell>
          <cell r="O69"/>
          <cell r="P69"/>
          <cell r="Q69"/>
          <cell r="R69"/>
          <cell r="S69"/>
          <cell r="T69">
            <v>1</v>
          </cell>
          <cell r="U69">
            <v>1</v>
          </cell>
          <cell r="X69"/>
          <cell r="Y69"/>
          <cell r="Z69"/>
          <cell r="AA69"/>
        </row>
        <row r="70">
          <cell r="A70" t="str">
            <v>SC3401</v>
          </cell>
          <cell r="B70"/>
          <cell r="C70"/>
          <cell r="D70" t="str">
            <v>SC</v>
          </cell>
          <cell r="E70" t="str">
            <v>34</v>
          </cell>
          <cell r="F70" t="str">
            <v>01</v>
          </cell>
          <cell r="G70"/>
          <cell r="H70" t="str">
            <v>Labelling Conveyor Drive</v>
          </cell>
          <cell r="I70">
            <v>24</v>
          </cell>
          <cell r="J70" t="str">
            <v>VSD</v>
          </cell>
          <cell r="K70" t="str">
            <v>Drive Fault</v>
          </cell>
          <cell r="L70">
            <v>260</v>
          </cell>
          <cell r="M70" t="str">
            <v>173401</v>
          </cell>
          <cell r="N70" t="str">
            <v>Rexroth</v>
          </cell>
          <cell r="O70" t="str">
            <v>VFC-3210-0K75-3P4</v>
          </cell>
          <cell r="P70"/>
          <cell r="Q70"/>
          <cell r="R70"/>
          <cell r="S70"/>
          <cell r="U70"/>
        </row>
        <row r="71">
          <cell r="A71" t="str">
            <v>Label Applicator Machine</v>
          </cell>
          <cell r="B71"/>
          <cell r="C71"/>
          <cell r="D71"/>
          <cell r="E71"/>
          <cell r="F71"/>
          <cell r="G71"/>
          <cell r="H71"/>
          <cell r="J71"/>
          <cell r="K71"/>
          <cell r="L71"/>
          <cell r="M71" t="str">
            <v/>
          </cell>
          <cell r="N71"/>
          <cell r="O71"/>
          <cell r="P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</row>
        <row r="72">
          <cell r="A72" t="str">
            <v>DI3501</v>
          </cell>
          <cell r="B72"/>
          <cell r="C72"/>
          <cell r="D72" t="str">
            <v>DI</v>
          </cell>
          <cell r="E72" t="str">
            <v>35</v>
          </cell>
          <cell r="F72" t="str">
            <v>01</v>
          </cell>
          <cell r="G72"/>
          <cell r="H72" t="str">
            <v>Label Applicator Machine Run Signal</v>
          </cell>
          <cell r="I72">
            <v>35</v>
          </cell>
          <cell r="J72" t="str">
            <v>MiscInput</v>
          </cell>
          <cell r="K72" t="str">
            <v>Sensor Fault</v>
          </cell>
          <cell r="L72">
            <v>1004</v>
          </cell>
          <cell r="M72" t="str">
            <v>203501</v>
          </cell>
          <cell r="N72"/>
          <cell r="P72"/>
          <cell r="Q72"/>
          <cell r="R72"/>
          <cell r="S72"/>
          <cell r="U72">
            <v>1</v>
          </cell>
        </row>
        <row r="73">
          <cell r="A73" t="str">
            <v>Top Tapping Unit</v>
          </cell>
          <cell r="B73"/>
          <cell r="C73"/>
          <cell r="D73"/>
          <cell r="E73"/>
          <cell r="F73"/>
          <cell r="G73"/>
          <cell r="H73"/>
          <cell r="I73" t="str">
            <v/>
          </cell>
          <cell r="K73"/>
          <cell r="L73" t="str">
            <v/>
          </cell>
          <cell r="M73" t="str">
            <v/>
          </cell>
          <cell r="N73"/>
          <cell r="P73"/>
          <cell r="Q73"/>
          <cell r="R73"/>
          <cell r="S73"/>
          <cell r="U73"/>
        </row>
        <row r="74">
          <cell r="A74" t="str">
            <v>PE2701</v>
          </cell>
          <cell r="B74"/>
          <cell r="C74"/>
          <cell r="D74" t="str">
            <v>PE</v>
          </cell>
          <cell r="E74" t="str">
            <v>27</v>
          </cell>
          <cell r="F74" t="str">
            <v>01</v>
          </cell>
          <cell r="G74"/>
          <cell r="H74" t="str">
            <v>Top Tape Low Level</v>
          </cell>
          <cell r="I74">
            <v>18</v>
          </cell>
          <cell r="J74" t="str">
            <v>MiscInput</v>
          </cell>
          <cell r="K74" t="str">
            <v>Sensor Fault</v>
          </cell>
          <cell r="L74">
            <v>1004</v>
          </cell>
          <cell r="M74" t="str">
            <v>152701</v>
          </cell>
          <cell r="N74" t="str">
            <v>Sick</v>
          </cell>
          <cell r="O74" t="str">
            <v>GTB6-P4231</v>
          </cell>
          <cell r="P74">
            <v>1079712</v>
          </cell>
          <cell r="Q74" t="str">
            <v>ESG 32AH1000-PL</v>
          </cell>
          <cell r="R74"/>
          <cell r="S74"/>
          <cell r="T74"/>
          <cell r="U74">
            <v>1</v>
          </cell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</row>
        <row r="75">
          <cell r="I75" t="str">
            <v/>
          </cell>
          <cell r="M75" t="str">
            <v/>
          </cell>
        </row>
        <row r="76">
          <cell r="I76" t="str">
            <v/>
          </cell>
        </row>
        <row r="82">
          <cell r="A82"/>
          <cell r="B82"/>
        </row>
        <row r="83">
          <cell r="A83"/>
          <cell r="B83"/>
        </row>
        <row r="84">
          <cell r="A84"/>
          <cell r="B84"/>
        </row>
        <row r="85">
          <cell r="A85"/>
          <cell r="B85"/>
        </row>
        <row r="86">
          <cell r="A86"/>
          <cell r="B86"/>
        </row>
        <row r="87">
          <cell r="A87"/>
          <cell r="B87"/>
        </row>
        <row r="88">
          <cell r="A88"/>
          <cell r="B88"/>
        </row>
        <row r="89">
          <cell r="A89"/>
          <cell r="B89"/>
        </row>
        <row r="90">
          <cell r="A90"/>
          <cell r="B90"/>
        </row>
        <row r="91">
          <cell r="A91"/>
          <cell r="B91"/>
        </row>
        <row r="92">
          <cell r="A92"/>
          <cell r="B92"/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Sheet"/>
      <sheetName val="Title"/>
      <sheetName val="Assemblies"/>
      <sheetName val="EquipmentList"/>
      <sheetName val="NodeList"/>
      <sheetName val="XC0301"/>
      <sheetName val="XC0320"/>
      <sheetName val="A0XC0401"/>
      <sheetName val="A1XC0401"/>
      <sheetName val="Drive_IO"/>
      <sheetName val="Alarms"/>
      <sheetName val="EventLog"/>
      <sheetName val="Item Codes"/>
      <sheetName val="PackML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6">
          <cell r="A6" t="str">
            <v>MCP</v>
          </cell>
        </row>
        <row r="45">
          <cell r="A45" t="str">
            <v>MiscInput</v>
          </cell>
        </row>
        <row r="46">
          <cell r="A46" t="str">
            <v>MiscOutput</v>
          </cell>
        </row>
        <row r="47">
          <cell r="A47" t="str">
            <v>Cylinder</v>
          </cell>
        </row>
        <row r="48">
          <cell r="A48" t="str">
            <v>Motor</v>
          </cell>
        </row>
        <row r="49">
          <cell r="A49" t="str">
            <v>VSD</v>
          </cell>
        </row>
        <row r="50">
          <cell r="A50" t="str">
            <v>Axis_K300</v>
          </cell>
        </row>
        <row r="51">
          <cell r="A51" t="str">
            <v>Axis_K350</v>
          </cell>
        </row>
        <row r="52">
          <cell r="A52" t="str">
            <v>Axis_CIP</v>
          </cell>
        </row>
        <row r="53">
          <cell r="A53" t="str">
            <v>Axis_K6000</v>
          </cell>
        </row>
        <row r="54">
          <cell r="A54" t="str">
            <v>Axis_Virtual</v>
          </cell>
        </row>
        <row r="55">
          <cell r="A55" t="str">
            <v>Axis_SEW</v>
          </cell>
        </row>
        <row r="56">
          <cell r="A56" t="str">
            <v>AnalogueIn</v>
          </cell>
        </row>
        <row r="57">
          <cell r="A57" t="str">
            <v>AnalogueOut</v>
          </cell>
        </row>
        <row r="58">
          <cell r="A58" t="str">
            <v>Festo_MS6SV</v>
          </cell>
        </row>
        <row r="59">
          <cell r="A59" t="str">
            <v>PositionalMotor</v>
          </cell>
        </row>
        <row r="60">
          <cell r="A60" t="str">
            <v>ABB_Robot</v>
          </cell>
        </row>
        <row r="61">
          <cell r="A61" t="str">
            <v>Encoder</v>
          </cell>
        </row>
      </sheetData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6607_Equipment List V1.4.1"/>
    </sheetNames>
    <definedNames>
      <definedName name="OMAC_Reason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6"/>
  <sheetViews>
    <sheetView zoomScaleNormal="100" workbookViewId="0">
      <selection activeCell="C20" sqref="C20"/>
    </sheetView>
  </sheetViews>
  <sheetFormatPr defaultColWidth="9.140625" defaultRowHeight="12.75" x14ac:dyDescent="0.2"/>
  <cols>
    <col min="1" max="1" width="39.28515625" style="69" bestFit="1" customWidth="1"/>
    <col min="2" max="2" width="27" style="69" bestFit="1" customWidth="1"/>
    <col min="3" max="3" width="19.42578125" style="69" customWidth="1"/>
    <col min="4" max="4" width="39.42578125" style="69" customWidth="1"/>
    <col min="5" max="16384" width="9.140625" style="69"/>
  </cols>
  <sheetData>
    <row r="1" spans="1:4" x14ac:dyDescent="0.2">
      <c r="A1" s="137" t="s">
        <v>0</v>
      </c>
      <c r="B1" s="137"/>
      <c r="C1" s="137"/>
      <c r="D1" s="137"/>
    </row>
    <row r="2" spans="1:4" x14ac:dyDescent="0.2">
      <c r="C2" s="70" t="s">
        <v>1</v>
      </c>
    </row>
    <row r="3" spans="1:4" x14ac:dyDescent="0.2">
      <c r="A3" s="71" t="s">
        <v>2</v>
      </c>
      <c r="C3" s="71"/>
    </row>
    <row r="4" spans="1:4" x14ac:dyDescent="0.2">
      <c r="A4" s="72" t="s">
        <v>3</v>
      </c>
      <c r="B4" s="68" t="s">
        <v>650</v>
      </c>
      <c r="C4" s="73"/>
    </row>
    <row r="5" spans="1:4" x14ac:dyDescent="0.2">
      <c r="A5" s="72" t="s">
        <v>4</v>
      </c>
      <c r="B5" s="68">
        <v>0</v>
      </c>
      <c r="C5" s="73"/>
    </row>
    <row r="6" spans="1:4" x14ac:dyDescent="0.2">
      <c r="C6" s="73"/>
    </row>
    <row r="7" spans="1:4" x14ac:dyDescent="0.2">
      <c r="C7" s="73"/>
    </row>
    <row r="8" spans="1:4" x14ac:dyDescent="0.2">
      <c r="A8" s="71" t="s">
        <v>5</v>
      </c>
      <c r="C8" s="73"/>
    </row>
    <row r="9" spans="1:4" x14ac:dyDescent="0.2">
      <c r="A9" s="72" t="s">
        <v>6</v>
      </c>
      <c r="B9" s="74" t="s">
        <v>7</v>
      </c>
      <c r="C9" s="73" t="s">
        <v>8</v>
      </c>
    </row>
    <row r="10" spans="1:4" x14ac:dyDescent="0.2">
      <c r="A10" s="69" t="s">
        <v>9</v>
      </c>
      <c r="B10" s="74" t="s">
        <v>10</v>
      </c>
      <c r="C10" s="73" t="s">
        <v>11</v>
      </c>
    </row>
    <row r="11" spans="1:4" x14ac:dyDescent="0.2">
      <c r="A11" s="69" t="s">
        <v>12</v>
      </c>
      <c r="B11" s="75" t="s">
        <v>13</v>
      </c>
      <c r="C11" s="73" t="s">
        <v>14</v>
      </c>
    </row>
    <row r="13" spans="1:4" x14ac:dyDescent="0.2">
      <c r="A13" s="69" t="s">
        <v>15</v>
      </c>
      <c r="B13" s="76" t="s">
        <v>522</v>
      </c>
      <c r="C13" s="73" t="s">
        <v>16</v>
      </c>
    </row>
    <row r="14" spans="1:4" x14ac:dyDescent="0.2">
      <c r="A14" s="69" t="s">
        <v>17</v>
      </c>
      <c r="B14" s="76" t="s">
        <v>18</v>
      </c>
      <c r="C14" s="73" t="s">
        <v>19</v>
      </c>
      <c r="D14" s="77"/>
    </row>
    <row r="15" spans="1:4" x14ac:dyDescent="0.2">
      <c r="A15" s="69" t="s">
        <v>20</v>
      </c>
      <c r="B15" s="76" t="s">
        <v>21</v>
      </c>
      <c r="C15" s="73" t="s">
        <v>22</v>
      </c>
    </row>
    <row r="16" spans="1:4" x14ac:dyDescent="0.2">
      <c r="A16" s="69" t="s">
        <v>23</v>
      </c>
      <c r="B16" s="76" t="s">
        <v>24</v>
      </c>
      <c r="C16" s="73" t="s">
        <v>25</v>
      </c>
      <c r="D16" s="77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Q1000"/>
  <sheetViews>
    <sheetView topLeftCell="A26" workbookViewId="0">
      <selection activeCell="B28" sqref="B28:Q28"/>
    </sheetView>
  </sheetViews>
  <sheetFormatPr defaultColWidth="14.42578125" defaultRowHeight="15" customHeight="1" x14ac:dyDescent="0.25"/>
  <cols>
    <col min="1" max="26" width="8.7109375" customWidth="1"/>
  </cols>
  <sheetData>
    <row r="1" spans="1:17" ht="14.25" customHeight="1" x14ac:dyDescent="0.25">
      <c r="A1" s="5"/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8"/>
    </row>
    <row r="2" spans="1:17" ht="14.25" customHeight="1" x14ac:dyDescent="0.25">
      <c r="A2" s="5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</row>
    <row r="3" spans="1:17" ht="14.25" customHeight="1" x14ac:dyDescent="0.25">
      <c r="A3" s="9"/>
      <c r="B3" s="10"/>
      <c r="C3" s="10"/>
      <c r="D3" s="10"/>
      <c r="E3" s="10"/>
      <c r="F3" s="11"/>
      <c r="G3" s="10"/>
      <c r="H3" s="11"/>
      <c r="I3" s="11"/>
      <c r="J3" s="11"/>
      <c r="K3" s="11"/>
      <c r="L3" s="11"/>
      <c r="M3" s="11"/>
      <c r="N3" s="11"/>
      <c r="O3" s="11"/>
      <c r="P3" s="11"/>
      <c r="Q3" s="12"/>
    </row>
    <row r="4" spans="1:17" ht="14.25" customHeight="1" x14ac:dyDescent="0.25">
      <c r="A4" s="5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8"/>
    </row>
    <row r="5" spans="1:17" ht="14.25" customHeight="1" x14ac:dyDescent="0.25">
      <c r="A5" s="5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8"/>
    </row>
    <row r="6" spans="1:17" ht="14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13"/>
    </row>
    <row r="7" spans="1:17" ht="14.25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13"/>
    </row>
    <row r="8" spans="1:17" ht="14.25" customHeight="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14"/>
    </row>
    <row r="9" spans="1:17" ht="14.25" customHeigh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4"/>
    </row>
    <row r="10" spans="1:17" ht="14.25" customHeight="1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14"/>
    </row>
    <row r="11" spans="1:17" ht="14.25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14"/>
    </row>
    <row r="12" spans="1:17" ht="14.2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13"/>
    </row>
    <row r="13" spans="1:17" ht="14.2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13"/>
    </row>
    <row r="14" spans="1:17" ht="14.25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13"/>
    </row>
    <row r="15" spans="1:17" ht="14.2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13"/>
    </row>
    <row r="16" spans="1:17" ht="14.2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13"/>
    </row>
    <row r="17" spans="1:17" ht="14.2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13"/>
    </row>
    <row r="18" spans="1:17" ht="14.2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13"/>
    </row>
    <row r="19" spans="1:17" ht="14.2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13"/>
    </row>
    <row r="20" spans="1:17" ht="14.2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13"/>
    </row>
    <row r="21" spans="1:17" ht="14.2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13"/>
    </row>
    <row r="22" spans="1:17" ht="14.2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13"/>
    </row>
    <row r="23" spans="1:17" ht="14.2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13"/>
    </row>
    <row r="24" spans="1:17" ht="14.2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13"/>
    </row>
    <row r="25" spans="1:17" ht="14.25" customHeight="1" x14ac:dyDescent="0.25">
      <c r="A25" s="5"/>
      <c r="B25" s="141" t="s">
        <v>26</v>
      </c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</row>
    <row r="26" spans="1:17" ht="14.2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13"/>
    </row>
    <row r="27" spans="1:17" ht="14.2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13"/>
    </row>
    <row r="28" spans="1:17" ht="14.25" customHeight="1" x14ac:dyDescent="0.25">
      <c r="A28" s="5"/>
      <c r="B28" s="141" t="s">
        <v>649</v>
      </c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</row>
    <row r="29" spans="1:17" ht="14.2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13"/>
    </row>
    <row r="30" spans="1:17" ht="14.2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13"/>
    </row>
    <row r="31" spans="1:17" ht="14.25" customHeight="1" x14ac:dyDescent="0.25">
      <c r="A31" s="5"/>
      <c r="B31" s="138" t="s">
        <v>564</v>
      </c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</row>
    <row r="32" spans="1:17" ht="14.25" customHeight="1" x14ac:dyDescent="0.25">
      <c r="A32" s="5"/>
      <c r="B32" s="138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</row>
    <row r="33" spans="1:17" ht="14.25" customHeight="1" x14ac:dyDescent="0.25">
      <c r="A33" s="5"/>
      <c r="B33" s="138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</row>
    <row r="34" spans="1:17" ht="14.2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13"/>
    </row>
    <row r="35" spans="1:17" ht="14.2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13"/>
    </row>
    <row r="36" spans="1:17" ht="14.2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13"/>
    </row>
    <row r="37" spans="1:17" ht="14.2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13"/>
    </row>
    <row r="38" spans="1:17" ht="14.2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13"/>
    </row>
    <row r="39" spans="1:17" ht="14.2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13"/>
    </row>
    <row r="40" spans="1:17" ht="14.2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13"/>
    </row>
    <row r="41" spans="1:17" ht="14.2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13"/>
    </row>
    <row r="42" spans="1:17" ht="14.25" customHeight="1" x14ac:dyDescent="0.25">
      <c r="A42" s="5"/>
      <c r="B42" s="138" t="s">
        <v>27</v>
      </c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</row>
    <row r="43" spans="1:17" ht="14.2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13"/>
    </row>
    <row r="44" spans="1:17" ht="14.2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13"/>
    </row>
    <row r="45" spans="1:17" ht="14.2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13"/>
    </row>
    <row r="46" spans="1:17" ht="14.2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13"/>
    </row>
    <row r="47" spans="1:17" ht="14.2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13"/>
    </row>
    <row r="48" spans="1:17" ht="14.2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13"/>
    </row>
    <row r="49" spans="1:17" ht="14.2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13"/>
    </row>
    <row r="50" spans="1:17" ht="14.2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13"/>
    </row>
    <row r="51" spans="1:17" ht="14.2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13"/>
    </row>
    <row r="52" spans="1:17" ht="14.2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13"/>
    </row>
    <row r="53" spans="1:17" ht="14.2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13"/>
    </row>
    <row r="54" spans="1:17" ht="14.2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13"/>
    </row>
    <row r="55" spans="1:17" ht="14.2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13"/>
    </row>
    <row r="56" spans="1:17" ht="14.2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13"/>
    </row>
    <row r="57" spans="1:17" ht="14.2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13"/>
    </row>
    <row r="58" spans="1:17" ht="14.2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13"/>
    </row>
    <row r="59" spans="1:17" ht="14.2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13"/>
    </row>
    <row r="60" spans="1:17" ht="14.25" customHeight="1" x14ac:dyDescent="0.25">
      <c r="A60" s="5"/>
      <c r="B60" s="140" t="s">
        <v>28</v>
      </c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</row>
    <row r="61" spans="1:17" ht="14.2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13"/>
    </row>
    <row r="62" spans="1:17" ht="14.2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13"/>
    </row>
    <row r="63" spans="1:17" ht="14.2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13"/>
    </row>
    <row r="64" spans="1:17" ht="14.2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13"/>
    </row>
    <row r="65" spans="1:17" ht="14.2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13"/>
    </row>
    <row r="66" spans="1:17" ht="14.2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13"/>
    </row>
    <row r="67" spans="1:17" ht="14.2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13"/>
    </row>
    <row r="68" spans="1:17" ht="14.2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13"/>
    </row>
    <row r="69" spans="1:17" ht="14.2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13"/>
    </row>
    <row r="70" spans="1:17" ht="14.2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13"/>
    </row>
    <row r="71" spans="1:17" ht="14.2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13"/>
    </row>
    <row r="72" spans="1:17" ht="14.2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13"/>
    </row>
    <row r="73" spans="1:17" ht="14.2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13"/>
    </row>
    <row r="74" spans="1:17" ht="14.2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13"/>
    </row>
    <row r="75" spans="1:17" ht="14.25" customHeight="1" x14ac:dyDescent="0.25"/>
    <row r="76" spans="1:17" ht="14.25" customHeight="1" x14ac:dyDescent="0.25"/>
    <row r="77" spans="1:17" ht="14.25" customHeight="1" x14ac:dyDescent="0.25"/>
    <row r="78" spans="1:17" ht="14.25" customHeight="1" x14ac:dyDescent="0.25"/>
    <row r="79" spans="1:17" ht="14.25" customHeight="1" x14ac:dyDescent="0.25"/>
    <row r="80" spans="1:17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7">
    <mergeCell ref="B42:Q42"/>
    <mergeCell ref="B60:Q60"/>
    <mergeCell ref="B25:Q25"/>
    <mergeCell ref="B28:Q28"/>
    <mergeCell ref="B31:Q31"/>
    <mergeCell ref="B32:Q32"/>
    <mergeCell ref="B33:Q33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1000"/>
  <sheetViews>
    <sheetView topLeftCell="A17" workbookViewId="0">
      <selection activeCell="E30" sqref="E30"/>
    </sheetView>
  </sheetViews>
  <sheetFormatPr defaultColWidth="14.42578125" defaultRowHeight="15" customHeight="1" x14ac:dyDescent="0.25"/>
  <cols>
    <col min="1" max="1" width="9.85546875" customWidth="1"/>
    <col min="2" max="2" width="36" customWidth="1"/>
    <col min="3" max="26" width="8.7109375" customWidth="1"/>
  </cols>
  <sheetData>
    <row r="1" spans="1:2" ht="18" customHeight="1" x14ac:dyDescent="0.25">
      <c r="A1" s="15" t="s">
        <v>29</v>
      </c>
      <c r="B1" s="15" t="s">
        <v>30</v>
      </c>
    </row>
    <row r="2" spans="1:2" ht="14.25" customHeight="1" x14ac:dyDescent="0.25">
      <c r="A2" s="16" t="s">
        <v>31</v>
      </c>
      <c r="B2" s="17" t="s">
        <v>30</v>
      </c>
    </row>
    <row r="3" spans="1:2" ht="14.25" customHeight="1" x14ac:dyDescent="0.25">
      <c r="A3" s="18" t="s">
        <v>32</v>
      </c>
      <c r="B3" s="4" t="s">
        <v>33</v>
      </c>
    </row>
    <row r="4" spans="1:2" ht="14.25" customHeight="1" x14ac:dyDescent="0.25">
      <c r="A4" s="18" t="s">
        <v>34</v>
      </c>
      <c r="B4" s="4" t="s">
        <v>35</v>
      </c>
    </row>
    <row r="5" spans="1:2" ht="14.25" customHeight="1" x14ac:dyDescent="0.25">
      <c r="A5" s="18" t="s">
        <v>36</v>
      </c>
      <c r="B5" s="4" t="s">
        <v>37</v>
      </c>
    </row>
    <row r="6" spans="1:2" ht="14.25" customHeight="1" x14ac:dyDescent="0.25">
      <c r="A6" s="18" t="s">
        <v>38</v>
      </c>
      <c r="B6" s="4" t="s">
        <v>39</v>
      </c>
    </row>
    <row r="7" spans="1:2" ht="14.25" customHeight="1" x14ac:dyDescent="0.25">
      <c r="A7" s="18" t="s">
        <v>40</v>
      </c>
      <c r="B7" s="4" t="s">
        <v>41</v>
      </c>
    </row>
    <row r="8" spans="1:2" ht="14.25" customHeight="1" x14ac:dyDescent="0.25">
      <c r="A8" s="18" t="s">
        <v>42</v>
      </c>
      <c r="B8" s="4" t="s">
        <v>43</v>
      </c>
    </row>
    <row r="9" spans="1:2" ht="14.25" customHeight="1" x14ac:dyDescent="0.25">
      <c r="A9" s="18" t="s">
        <v>44</v>
      </c>
      <c r="B9" s="4" t="s">
        <v>45</v>
      </c>
    </row>
    <row r="10" spans="1:2" ht="14.25" customHeight="1" x14ac:dyDescent="0.25">
      <c r="A10" s="18" t="s">
        <v>46</v>
      </c>
      <c r="B10" s="4" t="s">
        <v>47</v>
      </c>
    </row>
    <row r="11" spans="1:2" ht="14.25" customHeight="1" x14ac:dyDescent="0.25">
      <c r="A11" s="18" t="s">
        <v>48</v>
      </c>
      <c r="B11" s="4" t="s">
        <v>49</v>
      </c>
    </row>
    <row r="12" spans="1:2" ht="14.25" customHeight="1" x14ac:dyDescent="0.25">
      <c r="A12" s="18">
        <v>10</v>
      </c>
      <c r="B12" s="4" t="s">
        <v>50</v>
      </c>
    </row>
    <row r="13" spans="1:2" ht="14.25" customHeight="1" x14ac:dyDescent="0.25">
      <c r="A13" s="18">
        <v>11</v>
      </c>
    </row>
    <row r="14" spans="1:2" ht="14.25" customHeight="1" x14ac:dyDescent="0.25">
      <c r="A14" s="18" t="s">
        <v>51</v>
      </c>
      <c r="B14" s="4" t="s">
        <v>52</v>
      </c>
    </row>
    <row r="15" spans="1:2" ht="14.25" customHeight="1" x14ac:dyDescent="0.25">
      <c r="A15" s="18" t="s">
        <v>53</v>
      </c>
      <c r="B15" s="4" t="s">
        <v>54</v>
      </c>
    </row>
    <row r="16" spans="1:2" ht="14.25" customHeight="1" x14ac:dyDescent="0.25">
      <c r="A16" s="18" t="s">
        <v>55</v>
      </c>
    </row>
    <row r="17" spans="1:2" ht="14.25" customHeight="1" x14ac:dyDescent="0.25">
      <c r="A17" s="18" t="s">
        <v>56</v>
      </c>
    </row>
    <row r="18" spans="1:2" ht="14.25" customHeight="1" x14ac:dyDescent="0.25">
      <c r="A18" s="18" t="s">
        <v>57</v>
      </c>
    </row>
    <row r="19" spans="1:2" ht="14.25" customHeight="1" x14ac:dyDescent="0.25">
      <c r="A19" s="18" t="s">
        <v>58</v>
      </c>
      <c r="B19" t="s">
        <v>645</v>
      </c>
    </row>
    <row r="20" spans="1:2" ht="14.25" customHeight="1" x14ac:dyDescent="0.25">
      <c r="A20" s="18" t="s">
        <v>59</v>
      </c>
      <c r="B20" s="134"/>
    </row>
    <row r="21" spans="1:2" ht="14.25" customHeight="1" x14ac:dyDescent="0.25">
      <c r="A21" s="18" t="s">
        <v>60</v>
      </c>
      <c r="B21" s="134"/>
    </row>
    <row r="22" spans="1:2" ht="14.25" customHeight="1" x14ac:dyDescent="0.25">
      <c r="A22" s="18" t="s">
        <v>61</v>
      </c>
      <c r="B22" s="4"/>
    </row>
    <row r="23" spans="1:2" ht="14.25" customHeight="1" x14ac:dyDescent="0.25">
      <c r="A23" s="18" t="s">
        <v>62</v>
      </c>
      <c r="B23" s="2"/>
    </row>
    <row r="24" spans="1:2" ht="14.25" customHeight="1" x14ac:dyDescent="0.25">
      <c r="A24" s="18" t="s">
        <v>63</v>
      </c>
      <c r="B24" s="2"/>
    </row>
    <row r="25" spans="1:2" ht="14.25" customHeight="1" x14ac:dyDescent="0.25">
      <c r="A25" s="18">
        <v>23</v>
      </c>
      <c r="B25" s="134" t="s">
        <v>175</v>
      </c>
    </row>
    <row r="26" spans="1:2" ht="14.25" customHeight="1" x14ac:dyDescent="0.25">
      <c r="A26" s="18">
        <v>24</v>
      </c>
    </row>
    <row r="27" spans="1:2" ht="14.25" customHeight="1" x14ac:dyDescent="0.25">
      <c r="A27" s="18">
        <v>25</v>
      </c>
    </row>
    <row r="28" spans="1:2" ht="14.25" customHeight="1" x14ac:dyDescent="0.25">
      <c r="A28" s="18">
        <v>26</v>
      </c>
    </row>
    <row r="29" spans="1:2" ht="14.25" customHeight="1" x14ac:dyDescent="0.25">
      <c r="A29" s="18">
        <v>27</v>
      </c>
    </row>
    <row r="30" spans="1:2" ht="14.25" customHeight="1" x14ac:dyDescent="0.25">
      <c r="A30" s="18">
        <v>28</v>
      </c>
    </row>
    <row r="31" spans="1:2" ht="14.25" customHeight="1" x14ac:dyDescent="0.25">
      <c r="A31" s="18">
        <v>29</v>
      </c>
    </row>
    <row r="32" spans="1:2" ht="14.25" customHeight="1" x14ac:dyDescent="0.25">
      <c r="A32" s="18">
        <v>30</v>
      </c>
    </row>
    <row r="33" spans="1:2" ht="14.25" customHeight="1" x14ac:dyDescent="0.25">
      <c r="A33" s="18">
        <v>31</v>
      </c>
    </row>
    <row r="34" spans="1:2" ht="14.25" customHeight="1" x14ac:dyDescent="0.25">
      <c r="A34" s="18">
        <v>32</v>
      </c>
    </row>
    <row r="35" spans="1:2" ht="14.25" customHeight="1" x14ac:dyDescent="0.25">
      <c r="A35" s="18">
        <v>33</v>
      </c>
      <c r="B35" t="s">
        <v>575</v>
      </c>
    </row>
    <row r="36" spans="1:2" ht="14.25" customHeight="1" x14ac:dyDescent="0.25">
      <c r="A36" s="18">
        <v>34</v>
      </c>
      <c r="B36" s="2"/>
    </row>
    <row r="37" spans="1:2" ht="14.25" customHeight="1" x14ac:dyDescent="0.25">
      <c r="A37" s="18">
        <v>35</v>
      </c>
      <c r="B37" s="2"/>
    </row>
    <row r="38" spans="1:2" ht="14.25" customHeight="1" x14ac:dyDescent="0.25">
      <c r="A38" s="18">
        <v>36</v>
      </c>
      <c r="B38" s="2"/>
    </row>
    <row r="39" spans="1:2" ht="14.25" customHeight="1" x14ac:dyDescent="0.25">
      <c r="A39" s="18">
        <v>37</v>
      </c>
    </row>
    <row r="40" spans="1:2" ht="14.25" customHeight="1" x14ac:dyDescent="0.25">
      <c r="A40" s="18">
        <v>38</v>
      </c>
    </row>
    <row r="41" spans="1:2" ht="14.25" customHeight="1" x14ac:dyDescent="0.25">
      <c r="A41" s="18">
        <v>39</v>
      </c>
    </row>
    <row r="42" spans="1:2" ht="14.25" customHeight="1" x14ac:dyDescent="0.25">
      <c r="A42" s="18">
        <v>40</v>
      </c>
    </row>
    <row r="43" spans="1:2" ht="14.25" customHeight="1" x14ac:dyDescent="0.25">
      <c r="A43" s="18" t="s">
        <v>64</v>
      </c>
      <c r="B43" s="2" t="s">
        <v>568</v>
      </c>
    </row>
    <row r="44" spans="1:2" ht="14.25" customHeight="1" x14ac:dyDescent="0.25">
      <c r="A44" s="18" t="s">
        <v>65</v>
      </c>
    </row>
    <row r="45" spans="1:2" ht="14.25" customHeight="1" x14ac:dyDescent="0.25">
      <c r="A45" s="18" t="s">
        <v>66</v>
      </c>
    </row>
    <row r="46" spans="1:2" ht="14.25" customHeight="1" x14ac:dyDescent="0.25">
      <c r="A46" s="18" t="s">
        <v>67</v>
      </c>
    </row>
    <row r="47" spans="1:2" ht="14.25" customHeight="1" x14ac:dyDescent="0.25">
      <c r="A47" s="18" t="s">
        <v>68</v>
      </c>
    </row>
    <row r="48" spans="1:2" ht="14.25" customHeight="1" x14ac:dyDescent="0.25">
      <c r="A48" s="18" t="s">
        <v>69</v>
      </c>
    </row>
    <row r="49" spans="1:2" ht="14.25" customHeight="1" x14ac:dyDescent="0.25">
      <c r="A49" s="18" t="s">
        <v>70</v>
      </c>
    </row>
    <row r="50" spans="1:2" ht="14.25" customHeight="1" x14ac:dyDescent="0.25">
      <c r="A50" s="18" t="s">
        <v>71</v>
      </c>
    </row>
    <row r="51" spans="1:2" ht="14.25" customHeight="1" x14ac:dyDescent="0.25">
      <c r="A51" s="18" t="s">
        <v>72</v>
      </c>
    </row>
    <row r="52" spans="1:2" ht="14.25" customHeight="1" x14ac:dyDescent="0.25">
      <c r="A52" s="18" t="s">
        <v>73</v>
      </c>
    </row>
    <row r="53" spans="1:2" ht="14.25" customHeight="1" x14ac:dyDescent="0.25">
      <c r="A53" s="18" t="s">
        <v>321</v>
      </c>
      <c r="B53" s="2" t="s">
        <v>636</v>
      </c>
    </row>
    <row r="54" spans="1:2" ht="14.25" customHeight="1" x14ac:dyDescent="0.25">
      <c r="A54" s="18"/>
    </row>
    <row r="55" spans="1:2" ht="14.25" customHeight="1" x14ac:dyDescent="0.25">
      <c r="A55" s="18"/>
    </row>
    <row r="56" spans="1:2" ht="14.25" customHeight="1" x14ac:dyDescent="0.25">
      <c r="A56" s="18"/>
    </row>
    <row r="57" spans="1:2" ht="14.25" customHeight="1" x14ac:dyDescent="0.25">
      <c r="A57" s="18"/>
    </row>
    <row r="58" spans="1:2" ht="14.25" customHeight="1" x14ac:dyDescent="0.25">
      <c r="A58" s="18"/>
    </row>
    <row r="59" spans="1:2" ht="14.25" customHeight="1" x14ac:dyDescent="0.25">
      <c r="A59" s="18"/>
    </row>
    <row r="60" spans="1:2" ht="14.25" customHeight="1" x14ac:dyDescent="0.25">
      <c r="A60" s="18"/>
    </row>
    <row r="61" spans="1:2" ht="14.25" customHeight="1" x14ac:dyDescent="0.25">
      <c r="A61" s="18"/>
    </row>
    <row r="62" spans="1:2" ht="14.25" customHeight="1" x14ac:dyDescent="0.25">
      <c r="A62" s="18"/>
    </row>
    <row r="63" spans="1:2" ht="14.25" customHeight="1" x14ac:dyDescent="0.25">
      <c r="A63" s="18"/>
    </row>
    <row r="64" spans="1:2" ht="14.25" customHeight="1" x14ac:dyDescent="0.25">
      <c r="A64" s="18"/>
    </row>
    <row r="65" spans="1:1" ht="14.25" customHeight="1" x14ac:dyDescent="0.25">
      <c r="A65" s="18"/>
    </row>
    <row r="66" spans="1:1" ht="14.25" customHeight="1" x14ac:dyDescent="0.25">
      <c r="A66" s="18"/>
    </row>
    <row r="67" spans="1:1" ht="14.25" customHeight="1" x14ac:dyDescent="0.25">
      <c r="A67" s="18"/>
    </row>
    <row r="68" spans="1:1" ht="14.25" customHeight="1" x14ac:dyDescent="0.25">
      <c r="A68" s="18"/>
    </row>
    <row r="69" spans="1:1" ht="14.25" customHeight="1" x14ac:dyDescent="0.25">
      <c r="A69" s="18"/>
    </row>
    <row r="70" spans="1:1" ht="14.25" customHeight="1" x14ac:dyDescent="0.25">
      <c r="A70" s="18"/>
    </row>
    <row r="71" spans="1:1" ht="14.25" customHeight="1" x14ac:dyDescent="0.25">
      <c r="A71" s="18"/>
    </row>
    <row r="72" spans="1:1" ht="14.25" customHeight="1" x14ac:dyDescent="0.25">
      <c r="A72" s="18"/>
    </row>
    <row r="73" spans="1:1" ht="14.25" customHeight="1" x14ac:dyDescent="0.25">
      <c r="A73" s="18"/>
    </row>
    <row r="74" spans="1:1" ht="14.25" customHeight="1" x14ac:dyDescent="0.25">
      <c r="A74" s="18"/>
    </row>
    <row r="75" spans="1:1" ht="14.25" customHeight="1" x14ac:dyDescent="0.25">
      <c r="A75" s="18"/>
    </row>
    <row r="76" spans="1:1" ht="14.25" customHeight="1" x14ac:dyDescent="0.25">
      <c r="A76" s="18"/>
    </row>
    <row r="77" spans="1:1" ht="14.25" customHeight="1" x14ac:dyDescent="0.25">
      <c r="A77" s="18"/>
    </row>
    <row r="78" spans="1:1" ht="14.25" customHeight="1" x14ac:dyDescent="0.25">
      <c r="A78" s="18"/>
    </row>
    <row r="79" spans="1:1" ht="14.25" customHeight="1" x14ac:dyDescent="0.25">
      <c r="A79" s="18"/>
    </row>
    <row r="80" spans="1:1" ht="14.25" customHeight="1" x14ac:dyDescent="0.25">
      <c r="A80" s="18"/>
    </row>
    <row r="81" spans="1:1" ht="14.25" customHeight="1" x14ac:dyDescent="0.25">
      <c r="A81" s="18"/>
    </row>
    <row r="82" spans="1:1" ht="14.25" customHeight="1" x14ac:dyDescent="0.25">
      <c r="A82" s="18"/>
    </row>
    <row r="83" spans="1:1" ht="14.25" customHeight="1" x14ac:dyDescent="0.25">
      <c r="A83" s="18"/>
    </row>
    <row r="84" spans="1:1" ht="14.25" customHeight="1" x14ac:dyDescent="0.25">
      <c r="A84" s="18"/>
    </row>
    <row r="85" spans="1:1" ht="14.25" customHeight="1" x14ac:dyDescent="0.25">
      <c r="A85" s="18"/>
    </row>
    <row r="86" spans="1:1" ht="14.25" customHeight="1" x14ac:dyDescent="0.25">
      <c r="A86" s="18"/>
    </row>
    <row r="87" spans="1:1" ht="14.25" customHeight="1" x14ac:dyDescent="0.25">
      <c r="A87" s="18"/>
    </row>
    <row r="88" spans="1:1" ht="14.25" customHeight="1" x14ac:dyDescent="0.25">
      <c r="A88" s="18"/>
    </row>
    <row r="89" spans="1:1" ht="14.25" customHeight="1" x14ac:dyDescent="0.25">
      <c r="A89" s="18"/>
    </row>
    <row r="90" spans="1:1" ht="14.25" customHeight="1" x14ac:dyDescent="0.25">
      <c r="A90" s="18"/>
    </row>
    <row r="91" spans="1:1" ht="14.25" customHeight="1" x14ac:dyDescent="0.25">
      <c r="A91" s="18"/>
    </row>
    <row r="92" spans="1:1" ht="14.25" customHeight="1" x14ac:dyDescent="0.25">
      <c r="A92" s="18"/>
    </row>
    <row r="93" spans="1:1" ht="14.25" customHeight="1" x14ac:dyDescent="0.25">
      <c r="A93" s="18"/>
    </row>
    <row r="94" spans="1:1" ht="14.25" customHeight="1" x14ac:dyDescent="0.25">
      <c r="A94" s="18"/>
    </row>
    <row r="95" spans="1:1" ht="14.25" customHeight="1" x14ac:dyDescent="0.25">
      <c r="A95" s="18"/>
    </row>
    <row r="96" spans="1:1" ht="14.25" customHeight="1" x14ac:dyDescent="0.25">
      <c r="A96" s="18"/>
    </row>
    <row r="97" spans="1:1" ht="14.25" customHeight="1" x14ac:dyDescent="0.25">
      <c r="A97" s="18"/>
    </row>
    <row r="98" spans="1:1" ht="14.25" customHeight="1" x14ac:dyDescent="0.25">
      <c r="A98" s="18"/>
    </row>
    <row r="99" spans="1:1" ht="14.25" customHeight="1" x14ac:dyDescent="0.25">
      <c r="A99" s="18"/>
    </row>
    <row r="100" spans="1:1" ht="14.25" customHeight="1" x14ac:dyDescent="0.25">
      <c r="A100" s="18"/>
    </row>
    <row r="101" spans="1:1" ht="14.25" customHeight="1" x14ac:dyDescent="0.25">
      <c r="A101" s="18"/>
    </row>
    <row r="102" spans="1:1" ht="14.25" customHeight="1" x14ac:dyDescent="0.25">
      <c r="A102" s="18"/>
    </row>
    <row r="103" spans="1:1" ht="14.25" customHeight="1" x14ac:dyDescent="0.25">
      <c r="A103" s="18"/>
    </row>
    <row r="104" spans="1:1" ht="14.25" customHeight="1" x14ac:dyDescent="0.25">
      <c r="A104" s="18"/>
    </row>
    <row r="105" spans="1:1" ht="14.25" customHeight="1" x14ac:dyDescent="0.25">
      <c r="A105" s="18"/>
    </row>
    <row r="106" spans="1:1" ht="14.25" customHeight="1" x14ac:dyDescent="0.25">
      <c r="A106" s="18"/>
    </row>
    <row r="107" spans="1:1" ht="14.25" customHeight="1" x14ac:dyDescent="0.25">
      <c r="A107" s="18"/>
    </row>
    <row r="108" spans="1:1" ht="14.25" customHeight="1" x14ac:dyDescent="0.25">
      <c r="A108" s="18"/>
    </row>
    <row r="109" spans="1:1" ht="14.25" customHeight="1" x14ac:dyDescent="0.25">
      <c r="A109" s="18"/>
    </row>
    <row r="110" spans="1:1" ht="14.25" customHeight="1" x14ac:dyDescent="0.25">
      <c r="A110" s="18"/>
    </row>
    <row r="111" spans="1:1" ht="14.25" customHeight="1" x14ac:dyDescent="0.25">
      <c r="A111" s="18"/>
    </row>
    <row r="112" spans="1:1" ht="14.25" customHeight="1" x14ac:dyDescent="0.25">
      <c r="A112" s="18"/>
    </row>
    <row r="113" spans="1:1" ht="14.25" customHeight="1" x14ac:dyDescent="0.25">
      <c r="A113" s="18"/>
    </row>
    <row r="114" spans="1:1" ht="14.25" customHeight="1" x14ac:dyDescent="0.25">
      <c r="A114" s="18"/>
    </row>
    <row r="115" spans="1:1" ht="14.25" customHeight="1" x14ac:dyDescent="0.25">
      <c r="A115" s="18"/>
    </row>
    <row r="116" spans="1:1" ht="14.25" customHeight="1" x14ac:dyDescent="0.25">
      <c r="A116" s="18"/>
    </row>
    <row r="117" spans="1:1" ht="14.25" customHeight="1" x14ac:dyDescent="0.25">
      <c r="A117" s="18"/>
    </row>
    <row r="118" spans="1:1" ht="14.25" customHeight="1" x14ac:dyDescent="0.25">
      <c r="A118" s="18"/>
    </row>
    <row r="119" spans="1:1" ht="14.25" customHeight="1" x14ac:dyDescent="0.25">
      <c r="A119" s="18"/>
    </row>
    <row r="120" spans="1:1" ht="14.25" customHeight="1" x14ac:dyDescent="0.25">
      <c r="A120" s="18"/>
    </row>
    <row r="121" spans="1:1" ht="14.25" customHeight="1" x14ac:dyDescent="0.25">
      <c r="A121" s="18"/>
    </row>
    <row r="122" spans="1:1" ht="14.25" customHeight="1" x14ac:dyDescent="0.25">
      <c r="A122" s="18"/>
    </row>
    <row r="123" spans="1:1" ht="14.25" customHeight="1" x14ac:dyDescent="0.25">
      <c r="A123" s="18"/>
    </row>
    <row r="124" spans="1:1" ht="14.25" customHeight="1" x14ac:dyDescent="0.25">
      <c r="A124" s="18"/>
    </row>
    <row r="125" spans="1:1" ht="14.25" customHeight="1" x14ac:dyDescent="0.25">
      <c r="A125" s="18"/>
    </row>
    <row r="126" spans="1:1" ht="14.25" customHeight="1" x14ac:dyDescent="0.25">
      <c r="A126" s="18"/>
    </row>
    <row r="127" spans="1:1" ht="14.25" customHeight="1" x14ac:dyDescent="0.25">
      <c r="A127" s="18"/>
    </row>
    <row r="128" spans="1:1" ht="14.25" customHeight="1" x14ac:dyDescent="0.25">
      <c r="A128" s="18"/>
    </row>
    <row r="129" spans="1:1" ht="14.25" customHeight="1" x14ac:dyDescent="0.25">
      <c r="A129" s="18"/>
    </row>
    <row r="130" spans="1:1" ht="14.25" customHeight="1" x14ac:dyDescent="0.25">
      <c r="A130" s="18"/>
    </row>
    <row r="131" spans="1:1" ht="14.25" customHeight="1" x14ac:dyDescent="0.25">
      <c r="A131" s="18"/>
    </row>
    <row r="132" spans="1:1" ht="14.25" customHeight="1" x14ac:dyDescent="0.25">
      <c r="A132" s="18"/>
    </row>
    <row r="133" spans="1:1" ht="14.25" customHeight="1" x14ac:dyDescent="0.25">
      <c r="A133" s="18"/>
    </row>
    <row r="134" spans="1:1" ht="14.25" customHeight="1" x14ac:dyDescent="0.25">
      <c r="A134" s="18"/>
    </row>
    <row r="135" spans="1:1" ht="14.25" customHeight="1" x14ac:dyDescent="0.25">
      <c r="A135" s="18"/>
    </row>
    <row r="136" spans="1:1" ht="14.25" customHeight="1" x14ac:dyDescent="0.25">
      <c r="A136" s="18"/>
    </row>
    <row r="137" spans="1:1" ht="14.25" customHeight="1" x14ac:dyDescent="0.25">
      <c r="A137" s="18"/>
    </row>
    <row r="138" spans="1:1" ht="14.25" customHeight="1" x14ac:dyDescent="0.25">
      <c r="A138" s="18"/>
    </row>
    <row r="139" spans="1:1" ht="14.25" customHeight="1" x14ac:dyDescent="0.25">
      <c r="A139" s="18"/>
    </row>
    <row r="140" spans="1:1" ht="14.25" customHeight="1" x14ac:dyDescent="0.25">
      <c r="A140" s="18"/>
    </row>
    <row r="141" spans="1:1" ht="14.25" customHeight="1" x14ac:dyDescent="0.25">
      <c r="A141" s="18"/>
    </row>
    <row r="142" spans="1:1" ht="14.25" customHeight="1" x14ac:dyDescent="0.25">
      <c r="A142" s="18"/>
    </row>
    <row r="143" spans="1:1" ht="14.25" customHeight="1" x14ac:dyDescent="0.25">
      <c r="A143" s="18"/>
    </row>
    <row r="144" spans="1:1" ht="14.25" customHeight="1" x14ac:dyDescent="0.25">
      <c r="A144" s="18"/>
    </row>
    <row r="145" spans="1:1" ht="14.25" customHeight="1" x14ac:dyDescent="0.25">
      <c r="A145" s="18"/>
    </row>
    <row r="146" spans="1:1" ht="14.25" customHeight="1" x14ac:dyDescent="0.25">
      <c r="A146" s="18"/>
    </row>
    <row r="147" spans="1:1" ht="14.25" customHeight="1" x14ac:dyDescent="0.25">
      <c r="A147" s="18"/>
    </row>
    <row r="148" spans="1:1" ht="14.25" customHeight="1" x14ac:dyDescent="0.25">
      <c r="A148" s="18"/>
    </row>
    <row r="149" spans="1:1" ht="14.25" customHeight="1" x14ac:dyDescent="0.25">
      <c r="A149" s="18"/>
    </row>
    <row r="150" spans="1:1" ht="14.25" customHeight="1" x14ac:dyDescent="0.25">
      <c r="A150" s="18"/>
    </row>
    <row r="151" spans="1:1" ht="14.25" customHeight="1" x14ac:dyDescent="0.25">
      <c r="A151" s="18"/>
    </row>
    <row r="152" spans="1:1" ht="14.25" customHeight="1" x14ac:dyDescent="0.25">
      <c r="A152" s="18"/>
    </row>
    <row r="153" spans="1:1" ht="14.25" customHeight="1" x14ac:dyDescent="0.25">
      <c r="A153" s="18"/>
    </row>
    <row r="154" spans="1:1" ht="14.25" customHeight="1" x14ac:dyDescent="0.25">
      <c r="A154" s="18"/>
    </row>
    <row r="155" spans="1:1" ht="14.25" customHeight="1" x14ac:dyDescent="0.25">
      <c r="A155" s="18"/>
    </row>
    <row r="156" spans="1:1" ht="14.25" customHeight="1" x14ac:dyDescent="0.25">
      <c r="A156" s="18"/>
    </row>
    <row r="157" spans="1:1" ht="14.25" customHeight="1" x14ac:dyDescent="0.25">
      <c r="A157" s="18"/>
    </row>
    <row r="158" spans="1:1" ht="14.25" customHeight="1" x14ac:dyDescent="0.25">
      <c r="A158" s="18"/>
    </row>
    <row r="159" spans="1:1" ht="14.25" customHeight="1" x14ac:dyDescent="0.25">
      <c r="A159" s="18"/>
    </row>
    <row r="160" spans="1:1" ht="14.25" customHeight="1" x14ac:dyDescent="0.25">
      <c r="A160" s="18"/>
    </row>
    <row r="161" spans="1:1" ht="14.25" customHeight="1" x14ac:dyDescent="0.25">
      <c r="A161" s="18"/>
    </row>
    <row r="162" spans="1:1" ht="14.25" customHeight="1" x14ac:dyDescent="0.25">
      <c r="A162" s="18"/>
    </row>
    <row r="163" spans="1:1" ht="14.25" customHeight="1" x14ac:dyDescent="0.25">
      <c r="A163" s="18"/>
    </row>
    <row r="164" spans="1:1" ht="14.25" customHeight="1" x14ac:dyDescent="0.25">
      <c r="A164" s="18"/>
    </row>
    <row r="165" spans="1:1" ht="14.25" customHeight="1" x14ac:dyDescent="0.25">
      <c r="A165" s="18"/>
    </row>
    <row r="166" spans="1:1" ht="14.25" customHeight="1" x14ac:dyDescent="0.25">
      <c r="A166" s="18"/>
    </row>
    <row r="167" spans="1:1" ht="14.25" customHeight="1" x14ac:dyDescent="0.25">
      <c r="A167" s="18"/>
    </row>
    <row r="168" spans="1:1" ht="14.25" customHeight="1" x14ac:dyDescent="0.25">
      <c r="A168" s="18"/>
    </row>
    <row r="169" spans="1:1" ht="14.25" customHeight="1" x14ac:dyDescent="0.25">
      <c r="A169" s="18"/>
    </row>
    <row r="170" spans="1:1" ht="14.25" customHeight="1" x14ac:dyDescent="0.25">
      <c r="A170" s="18"/>
    </row>
    <row r="171" spans="1:1" ht="14.25" customHeight="1" x14ac:dyDescent="0.25">
      <c r="A171" s="18"/>
    </row>
    <row r="172" spans="1:1" ht="14.25" customHeight="1" x14ac:dyDescent="0.25">
      <c r="A172" s="18"/>
    </row>
    <row r="173" spans="1:1" ht="14.25" customHeight="1" x14ac:dyDescent="0.25">
      <c r="A173" s="18"/>
    </row>
    <row r="174" spans="1:1" ht="14.25" customHeight="1" x14ac:dyDescent="0.25">
      <c r="A174" s="18"/>
    </row>
    <row r="175" spans="1:1" ht="14.25" customHeight="1" x14ac:dyDescent="0.25">
      <c r="A175" s="18"/>
    </row>
    <row r="176" spans="1:1" ht="14.25" customHeight="1" x14ac:dyDescent="0.25">
      <c r="A176" s="18"/>
    </row>
    <row r="177" spans="1:1" ht="14.25" customHeight="1" x14ac:dyDescent="0.25">
      <c r="A177" s="18"/>
    </row>
    <row r="178" spans="1:1" ht="14.25" customHeight="1" x14ac:dyDescent="0.25">
      <c r="A178" s="18"/>
    </row>
    <row r="179" spans="1:1" ht="14.25" customHeight="1" x14ac:dyDescent="0.25">
      <c r="A179" s="18"/>
    </row>
    <row r="180" spans="1:1" ht="14.25" customHeight="1" x14ac:dyDescent="0.25">
      <c r="A180" s="18"/>
    </row>
    <row r="181" spans="1:1" ht="14.25" customHeight="1" x14ac:dyDescent="0.25">
      <c r="A181" s="18"/>
    </row>
    <row r="182" spans="1:1" ht="14.25" customHeight="1" x14ac:dyDescent="0.25">
      <c r="A182" s="18"/>
    </row>
    <row r="183" spans="1:1" ht="14.25" customHeight="1" x14ac:dyDescent="0.25">
      <c r="A183" s="18"/>
    </row>
    <row r="184" spans="1:1" ht="14.25" customHeight="1" x14ac:dyDescent="0.25">
      <c r="A184" s="18"/>
    </row>
    <row r="185" spans="1:1" ht="14.25" customHeight="1" x14ac:dyDescent="0.25">
      <c r="A185" s="18"/>
    </row>
    <row r="186" spans="1:1" ht="14.25" customHeight="1" x14ac:dyDescent="0.25">
      <c r="A186" s="18"/>
    </row>
    <row r="187" spans="1:1" ht="14.25" customHeight="1" x14ac:dyDescent="0.25">
      <c r="A187" s="18"/>
    </row>
    <row r="188" spans="1:1" ht="14.25" customHeight="1" x14ac:dyDescent="0.25">
      <c r="A188" s="18"/>
    </row>
    <row r="189" spans="1:1" ht="14.25" customHeight="1" x14ac:dyDescent="0.25">
      <c r="A189" s="18"/>
    </row>
    <row r="190" spans="1:1" ht="14.25" customHeight="1" x14ac:dyDescent="0.25">
      <c r="A190" s="18"/>
    </row>
    <row r="191" spans="1:1" ht="14.25" customHeight="1" x14ac:dyDescent="0.25">
      <c r="A191" s="18"/>
    </row>
    <row r="192" spans="1:1" ht="14.25" customHeight="1" x14ac:dyDescent="0.25">
      <c r="A192" s="18"/>
    </row>
    <row r="193" spans="1:1" ht="14.25" customHeight="1" x14ac:dyDescent="0.25">
      <c r="A193" s="18"/>
    </row>
    <row r="194" spans="1:1" ht="14.25" customHeight="1" x14ac:dyDescent="0.25">
      <c r="A194" s="18"/>
    </row>
    <row r="195" spans="1:1" ht="14.25" customHeight="1" x14ac:dyDescent="0.25">
      <c r="A195" s="18"/>
    </row>
    <row r="196" spans="1:1" ht="14.25" customHeight="1" x14ac:dyDescent="0.25">
      <c r="A196" s="18"/>
    </row>
    <row r="197" spans="1:1" ht="14.25" customHeight="1" x14ac:dyDescent="0.25">
      <c r="A197" s="18"/>
    </row>
    <row r="198" spans="1:1" ht="14.25" customHeight="1" x14ac:dyDescent="0.25">
      <c r="A198" s="18"/>
    </row>
    <row r="199" spans="1:1" ht="14.25" customHeight="1" x14ac:dyDescent="0.25">
      <c r="A199" s="18"/>
    </row>
    <row r="200" spans="1:1" ht="14.25" customHeight="1" x14ac:dyDescent="0.25">
      <c r="A200" s="18"/>
    </row>
    <row r="201" spans="1:1" ht="14.25" customHeight="1" x14ac:dyDescent="0.25">
      <c r="A201" s="18"/>
    </row>
    <row r="202" spans="1:1" ht="14.25" customHeight="1" x14ac:dyDescent="0.25">
      <c r="A202" s="18"/>
    </row>
    <row r="203" spans="1:1" ht="14.25" customHeight="1" x14ac:dyDescent="0.25">
      <c r="A203" s="18"/>
    </row>
    <row r="204" spans="1:1" ht="14.25" customHeight="1" x14ac:dyDescent="0.25">
      <c r="A204" s="18"/>
    </row>
    <row r="205" spans="1:1" ht="14.25" customHeight="1" x14ac:dyDescent="0.25">
      <c r="A205" s="18"/>
    </row>
    <row r="206" spans="1:1" ht="14.25" customHeight="1" x14ac:dyDescent="0.25">
      <c r="A206" s="18"/>
    </row>
    <row r="207" spans="1:1" ht="14.25" customHeight="1" x14ac:dyDescent="0.25">
      <c r="A207" s="18"/>
    </row>
    <row r="208" spans="1:1" ht="14.25" customHeight="1" x14ac:dyDescent="0.25">
      <c r="A208" s="18"/>
    </row>
    <row r="209" spans="1:1" ht="14.25" customHeight="1" x14ac:dyDescent="0.25">
      <c r="A209" s="18"/>
    </row>
    <row r="210" spans="1:1" ht="14.25" customHeight="1" x14ac:dyDescent="0.25">
      <c r="A210" s="18"/>
    </row>
    <row r="211" spans="1:1" ht="14.25" customHeight="1" x14ac:dyDescent="0.25">
      <c r="A211" s="18"/>
    </row>
    <row r="212" spans="1:1" ht="14.25" customHeight="1" x14ac:dyDescent="0.25">
      <c r="A212" s="18"/>
    </row>
    <row r="213" spans="1:1" ht="14.25" customHeight="1" x14ac:dyDescent="0.25">
      <c r="A213" s="18"/>
    </row>
    <row r="214" spans="1:1" ht="14.25" customHeight="1" x14ac:dyDescent="0.25">
      <c r="A214" s="18"/>
    </row>
    <row r="215" spans="1:1" ht="14.25" customHeight="1" x14ac:dyDescent="0.25">
      <c r="A215" s="18"/>
    </row>
    <row r="216" spans="1:1" ht="14.25" customHeight="1" x14ac:dyDescent="0.25">
      <c r="A216" s="18"/>
    </row>
    <row r="217" spans="1:1" ht="14.25" customHeight="1" x14ac:dyDescent="0.25">
      <c r="A217" s="18"/>
    </row>
    <row r="218" spans="1:1" ht="14.25" customHeight="1" x14ac:dyDescent="0.25">
      <c r="A218" s="18"/>
    </row>
    <row r="219" spans="1:1" ht="14.25" customHeight="1" x14ac:dyDescent="0.25">
      <c r="A219" s="18"/>
    </row>
    <row r="220" spans="1:1" ht="14.25" customHeight="1" x14ac:dyDescent="0.25">
      <c r="A220" s="18"/>
    </row>
    <row r="221" spans="1:1" ht="14.25" customHeight="1" x14ac:dyDescent="0.25">
      <c r="A221" s="18"/>
    </row>
    <row r="222" spans="1:1" ht="14.25" customHeight="1" x14ac:dyDescent="0.25">
      <c r="A222" s="18"/>
    </row>
    <row r="223" spans="1:1" ht="14.25" customHeight="1" x14ac:dyDescent="0.25">
      <c r="A223" s="18"/>
    </row>
    <row r="224" spans="1:1" ht="14.25" customHeight="1" x14ac:dyDescent="0.25">
      <c r="A224" s="18"/>
    </row>
    <row r="225" spans="1:1" ht="14.25" customHeight="1" x14ac:dyDescent="0.25">
      <c r="A225" s="18"/>
    </row>
    <row r="226" spans="1:1" ht="14.25" customHeight="1" x14ac:dyDescent="0.25">
      <c r="A226" s="18"/>
    </row>
    <row r="227" spans="1:1" ht="14.25" customHeight="1" x14ac:dyDescent="0.25">
      <c r="A227" s="18"/>
    </row>
    <row r="228" spans="1:1" ht="14.25" customHeight="1" x14ac:dyDescent="0.25">
      <c r="A228" s="18"/>
    </row>
    <row r="229" spans="1:1" ht="14.25" customHeight="1" x14ac:dyDescent="0.25">
      <c r="A229" s="18"/>
    </row>
    <row r="230" spans="1:1" ht="14.25" customHeight="1" x14ac:dyDescent="0.25">
      <c r="A230" s="18"/>
    </row>
    <row r="231" spans="1:1" ht="14.25" customHeight="1" x14ac:dyDescent="0.25">
      <c r="A231" s="18"/>
    </row>
    <row r="232" spans="1:1" ht="14.25" customHeight="1" x14ac:dyDescent="0.25">
      <c r="A232" s="18"/>
    </row>
    <row r="233" spans="1:1" ht="14.25" customHeight="1" x14ac:dyDescent="0.25">
      <c r="A233" s="18"/>
    </row>
    <row r="234" spans="1:1" ht="14.25" customHeight="1" x14ac:dyDescent="0.25">
      <c r="A234" s="18"/>
    </row>
    <row r="235" spans="1:1" ht="14.25" customHeight="1" x14ac:dyDescent="0.25">
      <c r="A235" s="18"/>
    </row>
    <row r="236" spans="1:1" ht="14.25" customHeight="1" x14ac:dyDescent="0.25">
      <c r="A236" s="18"/>
    </row>
    <row r="237" spans="1:1" ht="14.25" customHeight="1" x14ac:dyDescent="0.25">
      <c r="A237" s="18"/>
    </row>
    <row r="238" spans="1:1" ht="14.25" customHeight="1" x14ac:dyDescent="0.25">
      <c r="A238" s="18"/>
    </row>
    <row r="239" spans="1:1" ht="14.25" customHeight="1" x14ac:dyDescent="0.25">
      <c r="A239" s="18"/>
    </row>
    <row r="240" spans="1:1" ht="14.25" customHeight="1" x14ac:dyDescent="0.25">
      <c r="A240" s="18"/>
    </row>
    <row r="241" spans="1:1" ht="14.25" customHeight="1" x14ac:dyDescent="0.25">
      <c r="A241" s="18"/>
    </row>
    <row r="242" spans="1:1" ht="14.25" customHeight="1" x14ac:dyDescent="0.25">
      <c r="A242" s="18"/>
    </row>
    <row r="243" spans="1:1" ht="14.25" customHeight="1" x14ac:dyDescent="0.25">
      <c r="A243" s="18"/>
    </row>
    <row r="244" spans="1:1" ht="14.25" customHeight="1" x14ac:dyDescent="0.25">
      <c r="A244" s="18"/>
    </row>
    <row r="245" spans="1:1" ht="14.25" customHeight="1" x14ac:dyDescent="0.25">
      <c r="A245" s="18"/>
    </row>
    <row r="246" spans="1:1" ht="14.25" customHeight="1" x14ac:dyDescent="0.25">
      <c r="A246" s="18"/>
    </row>
    <row r="247" spans="1:1" ht="14.25" customHeight="1" x14ac:dyDescent="0.25">
      <c r="A247" s="18"/>
    </row>
    <row r="248" spans="1:1" ht="14.25" customHeight="1" x14ac:dyDescent="0.25">
      <c r="A248" s="18"/>
    </row>
    <row r="249" spans="1:1" ht="14.25" customHeight="1" x14ac:dyDescent="0.25">
      <c r="A249" s="18"/>
    </row>
    <row r="250" spans="1:1" ht="14.25" customHeight="1" x14ac:dyDescent="0.25">
      <c r="A250" s="18"/>
    </row>
    <row r="251" spans="1:1" ht="14.25" customHeight="1" x14ac:dyDescent="0.25">
      <c r="A251" s="18"/>
    </row>
    <row r="252" spans="1:1" ht="14.25" customHeight="1" x14ac:dyDescent="0.25">
      <c r="A252" s="18"/>
    </row>
    <row r="253" spans="1:1" ht="14.25" customHeight="1" x14ac:dyDescent="0.25">
      <c r="A253" s="18"/>
    </row>
    <row r="254" spans="1:1" ht="14.25" customHeight="1" x14ac:dyDescent="0.25">
      <c r="A254" s="18"/>
    </row>
    <row r="255" spans="1:1" ht="14.25" customHeight="1" x14ac:dyDescent="0.25">
      <c r="A255" s="18"/>
    </row>
    <row r="256" spans="1:1" ht="14.25" customHeight="1" x14ac:dyDescent="0.25">
      <c r="A256" s="18"/>
    </row>
    <row r="257" spans="1:1" ht="14.25" customHeight="1" x14ac:dyDescent="0.25">
      <c r="A257" s="18"/>
    </row>
    <row r="258" spans="1:1" ht="14.25" customHeight="1" x14ac:dyDescent="0.25">
      <c r="A258" s="18"/>
    </row>
    <row r="259" spans="1:1" ht="14.25" customHeight="1" x14ac:dyDescent="0.25">
      <c r="A259" s="18"/>
    </row>
    <row r="260" spans="1:1" ht="14.25" customHeight="1" x14ac:dyDescent="0.25">
      <c r="A260" s="18"/>
    </row>
    <row r="261" spans="1:1" ht="14.25" customHeight="1" x14ac:dyDescent="0.25">
      <c r="A261" s="18"/>
    </row>
    <row r="262" spans="1:1" ht="14.25" customHeight="1" x14ac:dyDescent="0.25">
      <c r="A262" s="18"/>
    </row>
    <row r="263" spans="1:1" ht="14.25" customHeight="1" x14ac:dyDescent="0.25">
      <c r="A263" s="18"/>
    </row>
    <row r="264" spans="1:1" ht="14.25" customHeight="1" x14ac:dyDescent="0.25">
      <c r="A264" s="18"/>
    </row>
    <row r="265" spans="1:1" ht="14.25" customHeight="1" x14ac:dyDescent="0.25">
      <c r="A265" s="18"/>
    </row>
    <row r="266" spans="1:1" ht="14.25" customHeight="1" x14ac:dyDescent="0.25">
      <c r="A266" s="18"/>
    </row>
    <row r="267" spans="1:1" ht="14.25" customHeight="1" x14ac:dyDescent="0.25">
      <c r="A267" s="18"/>
    </row>
    <row r="268" spans="1:1" ht="14.25" customHeight="1" x14ac:dyDescent="0.25">
      <c r="A268" s="18"/>
    </row>
    <row r="269" spans="1:1" ht="14.25" customHeight="1" x14ac:dyDescent="0.25">
      <c r="A269" s="18"/>
    </row>
    <row r="270" spans="1:1" ht="14.25" customHeight="1" x14ac:dyDescent="0.25">
      <c r="A270" s="18"/>
    </row>
    <row r="271" spans="1:1" ht="14.25" customHeight="1" x14ac:dyDescent="0.25">
      <c r="A271" s="18"/>
    </row>
    <row r="272" spans="1:1" ht="14.25" customHeight="1" x14ac:dyDescent="0.25">
      <c r="A272" s="18"/>
    </row>
    <row r="273" spans="1:1" ht="14.25" customHeight="1" x14ac:dyDescent="0.25">
      <c r="A273" s="18"/>
    </row>
    <row r="274" spans="1:1" ht="14.25" customHeight="1" x14ac:dyDescent="0.25">
      <c r="A274" s="18"/>
    </row>
    <row r="275" spans="1:1" ht="14.25" customHeight="1" x14ac:dyDescent="0.25">
      <c r="A275" s="18"/>
    </row>
    <row r="276" spans="1:1" ht="14.25" customHeight="1" x14ac:dyDescent="0.25">
      <c r="A276" s="18"/>
    </row>
    <row r="277" spans="1:1" ht="14.25" customHeight="1" x14ac:dyDescent="0.25">
      <c r="A277" s="18"/>
    </row>
    <row r="278" spans="1:1" ht="14.25" customHeight="1" x14ac:dyDescent="0.25">
      <c r="A278" s="18"/>
    </row>
    <row r="279" spans="1:1" ht="14.25" customHeight="1" x14ac:dyDescent="0.25">
      <c r="A279" s="18"/>
    </row>
    <row r="280" spans="1:1" ht="14.25" customHeight="1" x14ac:dyDescent="0.25">
      <c r="A280" s="18"/>
    </row>
    <row r="281" spans="1:1" ht="14.25" customHeight="1" x14ac:dyDescent="0.25">
      <c r="A281" s="18"/>
    </row>
    <row r="282" spans="1:1" ht="14.25" customHeight="1" x14ac:dyDescent="0.25">
      <c r="A282" s="18"/>
    </row>
    <row r="283" spans="1:1" ht="14.25" customHeight="1" x14ac:dyDescent="0.25">
      <c r="A283" s="18"/>
    </row>
    <row r="284" spans="1:1" ht="14.25" customHeight="1" x14ac:dyDescent="0.25">
      <c r="A284" s="18"/>
    </row>
    <row r="285" spans="1:1" ht="14.25" customHeight="1" x14ac:dyDescent="0.25">
      <c r="A285" s="18"/>
    </row>
    <row r="286" spans="1:1" ht="14.25" customHeight="1" x14ac:dyDescent="0.25">
      <c r="A286" s="18"/>
    </row>
    <row r="287" spans="1:1" ht="14.25" customHeight="1" x14ac:dyDescent="0.25">
      <c r="A287" s="18"/>
    </row>
    <row r="288" spans="1:1" ht="14.25" customHeight="1" x14ac:dyDescent="0.25">
      <c r="A288" s="18"/>
    </row>
    <row r="289" spans="1:1" ht="14.25" customHeight="1" x14ac:dyDescent="0.25">
      <c r="A289" s="18"/>
    </row>
    <row r="290" spans="1:1" ht="14.25" customHeight="1" x14ac:dyDescent="0.25">
      <c r="A290" s="18"/>
    </row>
    <row r="291" spans="1:1" ht="14.25" customHeight="1" x14ac:dyDescent="0.25">
      <c r="A291" s="18"/>
    </row>
    <row r="292" spans="1:1" ht="14.25" customHeight="1" x14ac:dyDescent="0.25">
      <c r="A292" s="18"/>
    </row>
    <row r="293" spans="1:1" ht="14.25" customHeight="1" x14ac:dyDescent="0.25">
      <c r="A293" s="18"/>
    </row>
    <row r="294" spans="1:1" ht="14.25" customHeight="1" x14ac:dyDescent="0.25">
      <c r="A294" s="18"/>
    </row>
    <row r="295" spans="1:1" ht="14.25" customHeight="1" x14ac:dyDescent="0.25">
      <c r="A295" s="18"/>
    </row>
    <row r="296" spans="1:1" ht="14.25" customHeight="1" x14ac:dyDescent="0.25">
      <c r="A296" s="18"/>
    </row>
    <row r="297" spans="1:1" ht="14.25" customHeight="1" x14ac:dyDescent="0.25">
      <c r="A297" s="18"/>
    </row>
    <row r="298" spans="1:1" ht="14.25" customHeight="1" x14ac:dyDescent="0.25">
      <c r="A298" s="18"/>
    </row>
    <row r="299" spans="1:1" ht="14.25" customHeight="1" x14ac:dyDescent="0.25">
      <c r="A299" s="18"/>
    </row>
    <row r="300" spans="1:1" ht="14.25" customHeight="1" x14ac:dyDescent="0.25">
      <c r="A300" s="18"/>
    </row>
    <row r="301" spans="1:1" ht="14.25" customHeight="1" x14ac:dyDescent="0.25">
      <c r="A301" s="18"/>
    </row>
    <row r="302" spans="1:1" ht="14.25" customHeight="1" x14ac:dyDescent="0.25">
      <c r="A302" s="18"/>
    </row>
    <row r="303" spans="1:1" ht="14.25" customHeight="1" x14ac:dyDescent="0.25">
      <c r="A303" s="18"/>
    </row>
    <row r="304" spans="1:1" ht="14.25" customHeight="1" x14ac:dyDescent="0.25">
      <c r="A304" s="18"/>
    </row>
    <row r="305" spans="1:1" ht="14.25" customHeight="1" x14ac:dyDescent="0.25">
      <c r="A305" s="18"/>
    </row>
    <row r="306" spans="1:1" ht="14.25" customHeight="1" x14ac:dyDescent="0.25">
      <c r="A306" s="18"/>
    </row>
    <row r="307" spans="1:1" ht="14.25" customHeight="1" x14ac:dyDescent="0.25">
      <c r="A307" s="18"/>
    </row>
    <row r="308" spans="1:1" ht="14.25" customHeight="1" x14ac:dyDescent="0.25">
      <c r="A308" s="18"/>
    </row>
    <row r="309" spans="1:1" ht="14.25" customHeight="1" x14ac:dyDescent="0.25">
      <c r="A309" s="18"/>
    </row>
    <row r="310" spans="1:1" ht="14.25" customHeight="1" x14ac:dyDescent="0.25">
      <c r="A310" s="18"/>
    </row>
    <row r="311" spans="1:1" ht="14.25" customHeight="1" x14ac:dyDescent="0.25">
      <c r="A311" s="18"/>
    </row>
    <row r="312" spans="1:1" ht="14.25" customHeight="1" x14ac:dyDescent="0.25">
      <c r="A312" s="18"/>
    </row>
    <row r="313" spans="1:1" ht="14.25" customHeight="1" x14ac:dyDescent="0.25">
      <c r="A313" s="18"/>
    </row>
    <row r="314" spans="1:1" ht="14.25" customHeight="1" x14ac:dyDescent="0.25">
      <c r="A314" s="18"/>
    </row>
    <row r="315" spans="1:1" ht="14.25" customHeight="1" x14ac:dyDescent="0.25">
      <c r="A315" s="18"/>
    </row>
    <row r="316" spans="1:1" ht="14.25" customHeight="1" x14ac:dyDescent="0.25">
      <c r="A316" s="18"/>
    </row>
    <row r="317" spans="1:1" ht="14.25" customHeight="1" x14ac:dyDescent="0.25">
      <c r="A317" s="18"/>
    </row>
    <row r="318" spans="1:1" ht="14.25" customHeight="1" x14ac:dyDescent="0.25">
      <c r="A318" s="18"/>
    </row>
    <row r="319" spans="1:1" ht="14.25" customHeight="1" x14ac:dyDescent="0.25">
      <c r="A319" s="18"/>
    </row>
    <row r="320" spans="1:1" ht="14.25" customHeight="1" x14ac:dyDescent="0.25">
      <c r="A320" s="18"/>
    </row>
    <row r="321" spans="1:1" ht="14.25" customHeight="1" x14ac:dyDescent="0.25">
      <c r="A321" s="18"/>
    </row>
    <row r="322" spans="1:1" ht="14.25" customHeight="1" x14ac:dyDescent="0.25">
      <c r="A322" s="18"/>
    </row>
    <row r="323" spans="1:1" ht="14.25" customHeight="1" x14ac:dyDescent="0.25">
      <c r="A323" s="18"/>
    </row>
    <row r="324" spans="1:1" ht="14.25" customHeight="1" x14ac:dyDescent="0.25">
      <c r="A324" s="18"/>
    </row>
    <row r="325" spans="1:1" ht="14.25" customHeight="1" x14ac:dyDescent="0.25">
      <c r="A325" s="18"/>
    </row>
    <row r="326" spans="1:1" ht="14.25" customHeight="1" x14ac:dyDescent="0.25">
      <c r="A326" s="18"/>
    </row>
    <row r="327" spans="1:1" ht="14.25" customHeight="1" x14ac:dyDescent="0.25">
      <c r="A327" s="18"/>
    </row>
    <row r="328" spans="1:1" ht="14.25" customHeight="1" x14ac:dyDescent="0.25">
      <c r="A328" s="18"/>
    </row>
    <row r="329" spans="1:1" ht="14.25" customHeight="1" x14ac:dyDescent="0.25">
      <c r="A329" s="18"/>
    </row>
    <row r="330" spans="1:1" ht="14.25" customHeight="1" x14ac:dyDescent="0.25">
      <c r="A330" s="18"/>
    </row>
    <row r="331" spans="1:1" ht="14.25" customHeight="1" x14ac:dyDescent="0.25">
      <c r="A331" s="18"/>
    </row>
    <row r="332" spans="1:1" ht="14.25" customHeight="1" x14ac:dyDescent="0.25">
      <c r="A332" s="18"/>
    </row>
    <row r="333" spans="1:1" ht="14.25" customHeight="1" x14ac:dyDescent="0.25">
      <c r="A333" s="18"/>
    </row>
    <row r="334" spans="1:1" ht="14.25" customHeight="1" x14ac:dyDescent="0.25">
      <c r="A334" s="18"/>
    </row>
    <row r="335" spans="1:1" ht="14.25" customHeight="1" x14ac:dyDescent="0.25">
      <c r="A335" s="18"/>
    </row>
    <row r="336" spans="1:1" ht="14.25" customHeight="1" x14ac:dyDescent="0.25">
      <c r="A336" s="18"/>
    </row>
    <row r="337" spans="1:1" ht="14.25" customHeight="1" x14ac:dyDescent="0.25">
      <c r="A337" s="18"/>
    </row>
    <row r="338" spans="1:1" ht="14.25" customHeight="1" x14ac:dyDescent="0.25">
      <c r="A338" s="18"/>
    </row>
    <row r="339" spans="1:1" ht="14.25" customHeight="1" x14ac:dyDescent="0.25">
      <c r="A339" s="18"/>
    </row>
    <row r="340" spans="1:1" ht="14.25" customHeight="1" x14ac:dyDescent="0.25">
      <c r="A340" s="18"/>
    </row>
    <row r="341" spans="1:1" ht="14.25" customHeight="1" x14ac:dyDescent="0.25">
      <c r="A341" s="18"/>
    </row>
    <row r="342" spans="1:1" ht="14.25" customHeight="1" x14ac:dyDescent="0.25">
      <c r="A342" s="18"/>
    </row>
    <row r="343" spans="1:1" ht="14.25" customHeight="1" x14ac:dyDescent="0.25">
      <c r="A343" s="18"/>
    </row>
    <row r="344" spans="1:1" ht="14.25" customHeight="1" x14ac:dyDescent="0.25">
      <c r="A344" s="18"/>
    </row>
    <row r="345" spans="1:1" ht="14.25" customHeight="1" x14ac:dyDescent="0.25">
      <c r="A345" s="18"/>
    </row>
    <row r="346" spans="1:1" ht="14.25" customHeight="1" x14ac:dyDescent="0.25">
      <c r="A346" s="18"/>
    </row>
    <row r="347" spans="1:1" ht="14.25" customHeight="1" x14ac:dyDescent="0.25">
      <c r="A347" s="18"/>
    </row>
    <row r="348" spans="1:1" ht="14.25" customHeight="1" x14ac:dyDescent="0.25">
      <c r="A348" s="18"/>
    </row>
    <row r="349" spans="1:1" ht="14.25" customHeight="1" x14ac:dyDescent="0.25">
      <c r="A349" s="18"/>
    </row>
    <row r="350" spans="1:1" ht="14.25" customHeight="1" x14ac:dyDescent="0.25">
      <c r="A350" s="18"/>
    </row>
    <row r="351" spans="1:1" ht="14.25" customHeight="1" x14ac:dyDescent="0.25">
      <c r="A351" s="18"/>
    </row>
    <row r="352" spans="1:1" ht="14.25" customHeight="1" x14ac:dyDescent="0.25">
      <c r="A352" s="18"/>
    </row>
    <row r="353" spans="1:1" ht="14.25" customHeight="1" x14ac:dyDescent="0.25">
      <c r="A353" s="18"/>
    </row>
    <row r="354" spans="1:1" ht="14.25" customHeight="1" x14ac:dyDescent="0.25">
      <c r="A354" s="18"/>
    </row>
    <row r="355" spans="1:1" ht="14.25" customHeight="1" x14ac:dyDescent="0.25">
      <c r="A355" s="18"/>
    </row>
    <row r="356" spans="1:1" ht="14.25" customHeight="1" x14ac:dyDescent="0.25">
      <c r="A356" s="18"/>
    </row>
    <row r="357" spans="1:1" ht="14.25" customHeight="1" x14ac:dyDescent="0.25">
      <c r="A357" s="18"/>
    </row>
    <row r="358" spans="1:1" ht="14.25" customHeight="1" x14ac:dyDescent="0.25">
      <c r="A358" s="18"/>
    </row>
    <row r="359" spans="1:1" ht="14.25" customHeight="1" x14ac:dyDescent="0.25">
      <c r="A359" s="18"/>
    </row>
    <row r="360" spans="1:1" ht="14.25" customHeight="1" x14ac:dyDescent="0.25">
      <c r="A360" s="18"/>
    </row>
    <row r="361" spans="1:1" ht="14.25" customHeight="1" x14ac:dyDescent="0.25">
      <c r="A361" s="18"/>
    </row>
    <row r="362" spans="1:1" ht="14.25" customHeight="1" x14ac:dyDescent="0.25">
      <c r="A362" s="18"/>
    </row>
    <row r="363" spans="1:1" ht="14.25" customHeight="1" x14ac:dyDescent="0.25">
      <c r="A363" s="18"/>
    </row>
    <row r="364" spans="1:1" ht="14.25" customHeight="1" x14ac:dyDescent="0.25">
      <c r="A364" s="18"/>
    </row>
    <row r="365" spans="1:1" ht="14.25" customHeight="1" x14ac:dyDescent="0.25">
      <c r="A365" s="18"/>
    </row>
    <row r="366" spans="1:1" ht="14.25" customHeight="1" x14ac:dyDescent="0.25">
      <c r="A366" s="18"/>
    </row>
    <row r="367" spans="1:1" ht="14.25" customHeight="1" x14ac:dyDescent="0.25">
      <c r="A367" s="18"/>
    </row>
    <row r="368" spans="1:1" ht="14.25" customHeight="1" x14ac:dyDescent="0.25">
      <c r="A368" s="18"/>
    </row>
    <row r="369" spans="1:1" ht="14.25" customHeight="1" x14ac:dyDescent="0.25">
      <c r="A369" s="18"/>
    </row>
    <row r="370" spans="1:1" ht="14.25" customHeight="1" x14ac:dyDescent="0.25">
      <c r="A370" s="18"/>
    </row>
    <row r="371" spans="1:1" ht="14.25" customHeight="1" x14ac:dyDescent="0.25">
      <c r="A371" s="18"/>
    </row>
    <row r="372" spans="1:1" ht="14.25" customHeight="1" x14ac:dyDescent="0.25">
      <c r="A372" s="18"/>
    </row>
    <row r="373" spans="1:1" ht="14.25" customHeight="1" x14ac:dyDescent="0.25">
      <c r="A373" s="18"/>
    </row>
    <row r="374" spans="1:1" ht="14.25" customHeight="1" x14ac:dyDescent="0.25">
      <c r="A374" s="18"/>
    </row>
    <row r="375" spans="1:1" ht="14.25" customHeight="1" x14ac:dyDescent="0.25">
      <c r="A375" s="18"/>
    </row>
    <row r="376" spans="1:1" ht="14.25" customHeight="1" x14ac:dyDescent="0.25">
      <c r="A376" s="18"/>
    </row>
    <row r="377" spans="1:1" ht="14.25" customHeight="1" x14ac:dyDescent="0.25">
      <c r="A377" s="18"/>
    </row>
    <row r="378" spans="1:1" ht="14.25" customHeight="1" x14ac:dyDescent="0.25">
      <c r="A378" s="18"/>
    </row>
    <row r="379" spans="1:1" ht="14.25" customHeight="1" x14ac:dyDescent="0.25">
      <c r="A379" s="18"/>
    </row>
    <row r="380" spans="1:1" ht="14.25" customHeight="1" x14ac:dyDescent="0.25">
      <c r="A380" s="18"/>
    </row>
    <row r="381" spans="1:1" ht="14.25" customHeight="1" x14ac:dyDescent="0.25">
      <c r="A381" s="18"/>
    </row>
    <row r="382" spans="1:1" ht="14.25" customHeight="1" x14ac:dyDescent="0.25">
      <c r="A382" s="18"/>
    </row>
    <row r="383" spans="1:1" ht="14.25" customHeight="1" x14ac:dyDescent="0.25">
      <c r="A383" s="18"/>
    </row>
    <row r="384" spans="1:1" ht="14.25" customHeight="1" x14ac:dyDescent="0.25">
      <c r="A384" s="18"/>
    </row>
    <row r="385" spans="1:1" ht="14.25" customHeight="1" x14ac:dyDescent="0.25">
      <c r="A385" s="18"/>
    </row>
    <row r="386" spans="1:1" ht="14.25" customHeight="1" x14ac:dyDescent="0.25">
      <c r="A386" s="18"/>
    </row>
    <row r="387" spans="1:1" ht="14.25" customHeight="1" x14ac:dyDescent="0.25">
      <c r="A387" s="18"/>
    </row>
    <row r="388" spans="1:1" ht="14.25" customHeight="1" x14ac:dyDescent="0.25">
      <c r="A388" s="18"/>
    </row>
    <row r="389" spans="1:1" ht="14.25" customHeight="1" x14ac:dyDescent="0.25">
      <c r="A389" s="18"/>
    </row>
    <row r="390" spans="1:1" ht="14.25" customHeight="1" x14ac:dyDescent="0.25">
      <c r="A390" s="18"/>
    </row>
    <row r="391" spans="1:1" ht="14.25" customHeight="1" x14ac:dyDescent="0.25">
      <c r="A391" s="18"/>
    </row>
    <row r="392" spans="1:1" ht="14.25" customHeight="1" x14ac:dyDescent="0.25">
      <c r="A392" s="18"/>
    </row>
    <row r="393" spans="1:1" ht="14.25" customHeight="1" x14ac:dyDescent="0.25">
      <c r="A393" s="18"/>
    </row>
    <row r="394" spans="1:1" ht="14.25" customHeight="1" x14ac:dyDescent="0.25">
      <c r="A394" s="18"/>
    </row>
    <row r="395" spans="1:1" ht="14.25" customHeight="1" x14ac:dyDescent="0.25">
      <c r="A395" s="18"/>
    </row>
    <row r="396" spans="1:1" ht="14.25" customHeight="1" x14ac:dyDescent="0.25">
      <c r="A396" s="18"/>
    </row>
    <row r="397" spans="1:1" ht="14.25" customHeight="1" x14ac:dyDescent="0.25">
      <c r="A397" s="18"/>
    </row>
    <row r="398" spans="1:1" ht="14.25" customHeight="1" x14ac:dyDescent="0.25">
      <c r="A398" s="18"/>
    </row>
    <row r="399" spans="1:1" ht="14.25" customHeight="1" x14ac:dyDescent="0.25">
      <c r="A399" s="18"/>
    </row>
    <row r="400" spans="1:1" ht="14.25" customHeight="1" x14ac:dyDescent="0.25">
      <c r="A400" s="18"/>
    </row>
    <row r="401" spans="1:1" ht="14.25" customHeight="1" x14ac:dyDescent="0.25">
      <c r="A401" s="18"/>
    </row>
    <row r="402" spans="1:1" ht="14.25" customHeight="1" x14ac:dyDescent="0.25">
      <c r="A402" s="18"/>
    </row>
    <row r="403" spans="1:1" ht="14.25" customHeight="1" x14ac:dyDescent="0.25">
      <c r="A403" s="18"/>
    </row>
    <row r="404" spans="1:1" ht="14.25" customHeight="1" x14ac:dyDescent="0.25">
      <c r="A404" s="18"/>
    </row>
    <row r="405" spans="1:1" ht="14.25" customHeight="1" x14ac:dyDescent="0.25">
      <c r="A405" s="18"/>
    </row>
    <row r="406" spans="1:1" ht="14.25" customHeight="1" x14ac:dyDescent="0.25">
      <c r="A406" s="18"/>
    </row>
    <row r="407" spans="1:1" ht="14.25" customHeight="1" x14ac:dyDescent="0.25">
      <c r="A407" s="18"/>
    </row>
    <row r="408" spans="1:1" ht="14.25" customHeight="1" x14ac:dyDescent="0.25">
      <c r="A408" s="18"/>
    </row>
    <row r="409" spans="1:1" ht="14.25" customHeight="1" x14ac:dyDescent="0.25">
      <c r="A409" s="18"/>
    </row>
    <row r="410" spans="1:1" ht="14.25" customHeight="1" x14ac:dyDescent="0.25">
      <c r="A410" s="18"/>
    </row>
    <row r="411" spans="1:1" ht="14.25" customHeight="1" x14ac:dyDescent="0.25">
      <c r="A411" s="18"/>
    </row>
    <row r="412" spans="1:1" ht="14.25" customHeight="1" x14ac:dyDescent="0.25">
      <c r="A412" s="18"/>
    </row>
    <row r="413" spans="1:1" ht="14.25" customHeight="1" x14ac:dyDescent="0.25">
      <c r="A413" s="18"/>
    </row>
    <row r="414" spans="1:1" ht="14.25" customHeight="1" x14ac:dyDescent="0.25">
      <c r="A414" s="18"/>
    </row>
    <row r="415" spans="1:1" ht="14.25" customHeight="1" x14ac:dyDescent="0.25">
      <c r="A415" s="18"/>
    </row>
    <row r="416" spans="1:1" ht="14.25" customHeight="1" x14ac:dyDescent="0.25">
      <c r="A416" s="18"/>
    </row>
    <row r="417" spans="1:1" ht="14.25" customHeight="1" x14ac:dyDescent="0.25">
      <c r="A417" s="18"/>
    </row>
    <row r="418" spans="1:1" ht="14.25" customHeight="1" x14ac:dyDescent="0.25">
      <c r="A418" s="18"/>
    </row>
    <row r="419" spans="1:1" ht="14.25" customHeight="1" x14ac:dyDescent="0.25">
      <c r="A419" s="18"/>
    </row>
    <row r="420" spans="1:1" ht="14.25" customHeight="1" x14ac:dyDescent="0.25">
      <c r="A420" s="18"/>
    </row>
    <row r="421" spans="1:1" ht="14.25" customHeight="1" x14ac:dyDescent="0.25">
      <c r="A421" s="18"/>
    </row>
    <row r="422" spans="1:1" ht="14.25" customHeight="1" x14ac:dyDescent="0.25">
      <c r="A422" s="18"/>
    </row>
    <row r="423" spans="1:1" ht="14.25" customHeight="1" x14ac:dyDescent="0.25">
      <c r="A423" s="18"/>
    </row>
    <row r="424" spans="1:1" ht="14.25" customHeight="1" x14ac:dyDescent="0.25">
      <c r="A424" s="18"/>
    </row>
    <row r="425" spans="1:1" ht="14.25" customHeight="1" x14ac:dyDescent="0.25">
      <c r="A425" s="18"/>
    </row>
    <row r="426" spans="1:1" ht="14.25" customHeight="1" x14ac:dyDescent="0.25">
      <c r="A426" s="18"/>
    </row>
    <row r="427" spans="1:1" ht="14.25" customHeight="1" x14ac:dyDescent="0.25">
      <c r="A427" s="18"/>
    </row>
    <row r="428" spans="1:1" ht="14.25" customHeight="1" x14ac:dyDescent="0.25">
      <c r="A428" s="18"/>
    </row>
    <row r="429" spans="1:1" ht="14.25" customHeight="1" x14ac:dyDescent="0.25">
      <c r="A429" s="18"/>
    </row>
    <row r="430" spans="1:1" ht="14.25" customHeight="1" x14ac:dyDescent="0.25">
      <c r="A430" s="18"/>
    </row>
    <row r="431" spans="1:1" ht="14.25" customHeight="1" x14ac:dyDescent="0.25">
      <c r="A431" s="18"/>
    </row>
    <row r="432" spans="1:1" ht="14.25" customHeight="1" x14ac:dyDescent="0.25">
      <c r="A432" s="18"/>
    </row>
    <row r="433" spans="1:1" ht="14.25" customHeight="1" x14ac:dyDescent="0.25">
      <c r="A433" s="18"/>
    </row>
    <row r="434" spans="1:1" ht="14.25" customHeight="1" x14ac:dyDescent="0.25">
      <c r="A434" s="18"/>
    </row>
    <row r="435" spans="1:1" ht="14.25" customHeight="1" x14ac:dyDescent="0.25">
      <c r="A435" s="18"/>
    </row>
    <row r="436" spans="1:1" ht="14.25" customHeight="1" x14ac:dyDescent="0.25">
      <c r="A436" s="18"/>
    </row>
    <row r="437" spans="1:1" ht="14.25" customHeight="1" x14ac:dyDescent="0.25">
      <c r="A437" s="18"/>
    </row>
    <row r="438" spans="1:1" ht="14.25" customHeight="1" x14ac:dyDescent="0.25">
      <c r="A438" s="18"/>
    </row>
    <row r="439" spans="1:1" ht="14.25" customHeight="1" x14ac:dyDescent="0.25">
      <c r="A439" s="18"/>
    </row>
    <row r="440" spans="1:1" ht="14.25" customHeight="1" x14ac:dyDescent="0.25">
      <c r="A440" s="18"/>
    </row>
    <row r="441" spans="1:1" ht="14.25" customHeight="1" x14ac:dyDescent="0.25">
      <c r="A441" s="18"/>
    </row>
    <row r="442" spans="1:1" ht="14.25" customHeight="1" x14ac:dyDescent="0.25">
      <c r="A442" s="18"/>
    </row>
    <row r="443" spans="1:1" ht="14.25" customHeight="1" x14ac:dyDescent="0.25">
      <c r="A443" s="18"/>
    </row>
    <row r="444" spans="1:1" ht="14.25" customHeight="1" x14ac:dyDescent="0.25">
      <c r="A444" s="18"/>
    </row>
    <row r="445" spans="1:1" ht="14.25" customHeight="1" x14ac:dyDescent="0.25">
      <c r="A445" s="18"/>
    </row>
    <row r="446" spans="1:1" ht="14.25" customHeight="1" x14ac:dyDescent="0.25">
      <c r="A446" s="18"/>
    </row>
    <row r="447" spans="1:1" ht="14.25" customHeight="1" x14ac:dyDescent="0.25">
      <c r="A447" s="18"/>
    </row>
    <row r="448" spans="1:1" ht="14.25" customHeight="1" x14ac:dyDescent="0.25">
      <c r="A448" s="18"/>
    </row>
    <row r="449" spans="1:1" ht="14.25" customHeight="1" x14ac:dyDescent="0.25">
      <c r="A449" s="18"/>
    </row>
    <row r="450" spans="1:1" ht="14.25" customHeight="1" x14ac:dyDescent="0.25">
      <c r="A450" s="18"/>
    </row>
    <row r="451" spans="1:1" ht="14.25" customHeight="1" x14ac:dyDescent="0.25">
      <c r="A451" s="18"/>
    </row>
    <row r="452" spans="1:1" ht="14.25" customHeight="1" x14ac:dyDescent="0.25">
      <c r="A452" s="18"/>
    </row>
    <row r="453" spans="1:1" ht="14.25" customHeight="1" x14ac:dyDescent="0.25">
      <c r="A453" s="18"/>
    </row>
    <row r="454" spans="1:1" ht="14.25" customHeight="1" x14ac:dyDescent="0.25">
      <c r="A454" s="18"/>
    </row>
    <row r="455" spans="1:1" ht="14.25" customHeight="1" x14ac:dyDescent="0.25">
      <c r="A455" s="18"/>
    </row>
    <row r="456" spans="1:1" ht="14.25" customHeight="1" x14ac:dyDescent="0.25">
      <c r="A456" s="18"/>
    </row>
    <row r="457" spans="1:1" ht="14.25" customHeight="1" x14ac:dyDescent="0.25">
      <c r="A457" s="18"/>
    </row>
    <row r="458" spans="1:1" ht="14.25" customHeight="1" x14ac:dyDescent="0.25">
      <c r="A458" s="18"/>
    </row>
    <row r="459" spans="1:1" ht="14.25" customHeight="1" x14ac:dyDescent="0.25">
      <c r="A459" s="18"/>
    </row>
    <row r="460" spans="1:1" ht="14.25" customHeight="1" x14ac:dyDescent="0.25">
      <c r="A460" s="18"/>
    </row>
    <row r="461" spans="1:1" ht="14.25" customHeight="1" x14ac:dyDescent="0.25">
      <c r="A461" s="18"/>
    </row>
    <row r="462" spans="1:1" ht="14.25" customHeight="1" x14ac:dyDescent="0.25">
      <c r="A462" s="18"/>
    </row>
    <row r="463" spans="1:1" ht="14.25" customHeight="1" x14ac:dyDescent="0.25">
      <c r="A463" s="18"/>
    </row>
    <row r="464" spans="1:1" ht="14.25" customHeight="1" x14ac:dyDescent="0.25">
      <c r="A464" s="18"/>
    </row>
    <row r="465" spans="1:1" ht="14.25" customHeight="1" x14ac:dyDescent="0.25">
      <c r="A465" s="18"/>
    </row>
    <row r="466" spans="1:1" ht="14.25" customHeight="1" x14ac:dyDescent="0.25">
      <c r="A466" s="18"/>
    </row>
    <row r="467" spans="1:1" ht="14.25" customHeight="1" x14ac:dyDescent="0.25">
      <c r="A467" s="18"/>
    </row>
    <row r="468" spans="1:1" ht="14.25" customHeight="1" x14ac:dyDescent="0.25">
      <c r="A468" s="18"/>
    </row>
    <row r="469" spans="1:1" ht="14.25" customHeight="1" x14ac:dyDescent="0.25">
      <c r="A469" s="18"/>
    </row>
    <row r="470" spans="1:1" ht="14.25" customHeight="1" x14ac:dyDescent="0.25">
      <c r="A470" s="18"/>
    </row>
    <row r="471" spans="1:1" ht="14.25" customHeight="1" x14ac:dyDescent="0.25">
      <c r="A471" s="18"/>
    </row>
    <row r="472" spans="1:1" ht="14.25" customHeight="1" x14ac:dyDescent="0.25">
      <c r="A472" s="18"/>
    </row>
    <row r="473" spans="1:1" ht="14.25" customHeight="1" x14ac:dyDescent="0.25">
      <c r="A473" s="18"/>
    </row>
    <row r="474" spans="1:1" ht="14.25" customHeight="1" x14ac:dyDescent="0.25">
      <c r="A474" s="18"/>
    </row>
    <row r="475" spans="1:1" ht="14.25" customHeight="1" x14ac:dyDescent="0.25">
      <c r="A475" s="18"/>
    </row>
    <row r="476" spans="1:1" ht="14.25" customHeight="1" x14ac:dyDescent="0.25">
      <c r="A476" s="18"/>
    </row>
    <row r="477" spans="1:1" ht="14.25" customHeight="1" x14ac:dyDescent="0.25">
      <c r="A477" s="18"/>
    </row>
    <row r="478" spans="1:1" ht="14.25" customHeight="1" x14ac:dyDescent="0.25">
      <c r="A478" s="18"/>
    </row>
    <row r="479" spans="1:1" ht="14.25" customHeight="1" x14ac:dyDescent="0.25">
      <c r="A479" s="18"/>
    </row>
    <row r="480" spans="1:1" ht="14.25" customHeight="1" x14ac:dyDescent="0.25">
      <c r="A480" s="18"/>
    </row>
    <row r="481" spans="1:1" ht="14.25" customHeight="1" x14ac:dyDescent="0.25">
      <c r="A481" s="18"/>
    </row>
    <row r="482" spans="1:1" ht="14.25" customHeight="1" x14ac:dyDescent="0.25">
      <c r="A482" s="18"/>
    </row>
    <row r="483" spans="1:1" ht="14.25" customHeight="1" x14ac:dyDescent="0.25">
      <c r="A483" s="18"/>
    </row>
    <row r="484" spans="1:1" ht="14.25" customHeight="1" x14ac:dyDescent="0.25">
      <c r="A484" s="18"/>
    </row>
    <row r="485" spans="1:1" ht="14.25" customHeight="1" x14ac:dyDescent="0.25">
      <c r="A485" s="18"/>
    </row>
    <row r="486" spans="1:1" ht="14.25" customHeight="1" x14ac:dyDescent="0.25">
      <c r="A486" s="18"/>
    </row>
    <row r="487" spans="1:1" ht="14.25" customHeight="1" x14ac:dyDescent="0.25">
      <c r="A487" s="18"/>
    </row>
    <row r="488" spans="1:1" ht="14.25" customHeight="1" x14ac:dyDescent="0.25">
      <c r="A488" s="18"/>
    </row>
    <row r="489" spans="1:1" ht="14.25" customHeight="1" x14ac:dyDescent="0.25">
      <c r="A489" s="18"/>
    </row>
    <row r="490" spans="1:1" ht="14.25" customHeight="1" x14ac:dyDescent="0.25">
      <c r="A490" s="18"/>
    </row>
    <row r="491" spans="1:1" ht="14.25" customHeight="1" x14ac:dyDescent="0.25">
      <c r="A491" s="18"/>
    </row>
    <row r="492" spans="1:1" ht="14.25" customHeight="1" x14ac:dyDescent="0.25">
      <c r="A492" s="18"/>
    </row>
    <row r="493" spans="1:1" ht="14.25" customHeight="1" x14ac:dyDescent="0.25">
      <c r="A493" s="18"/>
    </row>
    <row r="494" spans="1:1" ht="14.25" customHeight="1" x14ac:dyDescent="0.25">
      <c r="A494" s="18"/>
    </row>
    <row r="495" spans="1:1" ht="14.25" customHeight="1" x14ac:dyDescent="0.25">
      <c r="A495" s="18"/>
    </row>
    <row r="496" spans="1:1" ht="14.25" customHeight="1" x14ac:dyDescent="0.25">
      <c r="A496" s="18"/>
    </row>
    <row r="497" spans="1:1" ht="14.25" customHeight="1" x14ac:dyDescent="0.25">
      <c r="A497" s="18"/>
    </row>
    <row r="498" spans="1:1" ht="14.25" customHeight="1" x14ac:dyDescent="0.25">
      <c r="A498" s="18"/>
    </row>
    <row r="499" spans="1:1" ht="14.25" customHeight="1" x14ac:dyDescent="0.25">
      <c r="A499" s="18"/>
    </row>
    <row r="500" spans="1:1" ht="14.25" customHeight="1" x14ac:dyDescent="0.25">
      <c r="A500" s="18"/>
    </row>
    <row r="501" spans="1:1" ht="14.25" customHeight="1" x14ac:dyDescent="0.25">
      <c r="A501" s="18"/>
    </row>
    <row r="502" spans="1:1" ht="14.25" customHeight="1" x14ac:dyDescent="0.25">
      <c r="A502" s="18"/>
    </row>
    <row r="503" spans="1:1" ht="14.25" customHeight="1" x14ac:dyDescent="0.25">
      <c r="A503" s="18"/>
    </row>
    <row r="504" spans="1:1" ht="14.25" customHeight="1" x14ac:dyDescent="0.25">
      <c r="A504" s="18"/>
    </row>
    <row r="505" spans="1:1" ht="14.25" customHeight="1" x14ac:dyDescent="0.25">
      <c r="A505" s="18"/>
    </row>
    <row r="506" spans="1:1" ht="14.25" customHeight="1" x14ac:dyDescent="0.25">
      <c r="A506" s="18"/>
    </row>
    <row r="507" spans="1:1" ht="14.25" customHeight="1" x14ac:dyDescent="0.25">
      <c r="A507" s="18"/>
    </row>
    <row r="508" spans="1:1" ht="14.25" customHeight="1" x14ac:dyDescent="0.25">
      <c r="A508" s="18"/>
    </row>
    <row r="509" spans="1:1" ht="14.25" customHeight="1" x14ac:dyDescent="0.25">
      <c r="A509" s="18"/>
    </row>
    <row r="510" spans="1:1" ht="14.25" customHeight="1" x14ac:dyDescent="0.25">
      <c r="A510" s="18"/>
    </row>
    <row r="511" spans="1:1" ht="14.25" customHeight="1" x14ac:dyDescent="0.25">
      <c r="A511" s="18"/>
    </row>
    <row r="512" spans="1:1" ht="14.25" customHeight="1" x14ac:dyDescent="0.25">
      <c r="A512" s="18"/>
    </row>
    <row r="513" spans="1:1" ht="14.25" customHeight="1" x14ac:dyDescent="0.25">
      <c r="A513" s="18"/>
    </row>
    <row r="514" spans="1:1" ht="14.25" customHeight="1" x14ac:dyDescent="0.25">
      <c r="A514" s="18"/>
    </row>
    <row r="515" spans="1:1" ht="14.25" customHeight="1" x14ac:dyDescent="0.25">
      <c r="A515" s="18"/>
    </row>
    <row r="516" spans="1:1" ht="14.25" customHeight="1" x14ac:dyDescent="0.25">
      <c r="A516" s="18"/>
    </row>
    <row r="517" spans="1:1" ht="14.25" customHeight="1" x14ac:dyDescent="0.25">
      <c r="A517" s="18"/>
    </row>
    <row r="518" spans="1:1" ht="14.25" customHeight="1" x14ac:dyDescent="0.25">
      <c r="A518" s="18"/>
    </row>
    <row r="519" spans="1:1" ht="14.25" customHeight="1" x14ac:dyDescent="0.25">
      <c r="A519" s="18"/>
    </row>
    <row r="520" spans="1:1" ht="14.25" customHeight="1" x14ac:dyDescent="0.25">
      <c r="A520" s="18"/>
    </row>
    <row r="521" spans="1:1" ht="14.25" customHeight="1" x14ac:dyDescent="0.25">
      <c r="A521" s="18"/>
    </row>
    <row r="522" spans="1:1" ht="14.25" customHeight="1" x14ac:dyDescent="0.25">
      <c r="A522" s="18"/>
    </row>
    <row r="523" spans="1:1" ht="14.25" customHeight="1" x14ac:dyDescent="0.25">
      <c r="A523" s="18"/>
    </row>
    <row r="524" spans="1:1" ht="14.25" customHeight="1" x14ac:dyDescent="0.25">
      <c r="A524" s="18"/>
    </row>
    <row r="525" spans="1:1" ht="14.25" customHeight="1" x14ac:dyDescent="0.25">
      <c r="A525" s="18"/>
    </row>
    <row r="526" spans="1:1" ht="14.25" customHeight="1" x14ac:dyDescent="0.25">
      <c r="A526" s="18"/>
    </row>
    <row r="527" spans="1:1" ht="14.25" customHeight="1" x14ac:dyDescent="0.25">
      <c r="A527" s="18"/>
    </row>
    <row r="528" spans="1:1" ht="14.25" customHeight="1" x14ac:dyDescent="0.25">
      <c r="A528" s="18"/>
    </row>
    <row r="529" spans="1:1" ht="14.25" customHeight="1" x14ac:dyDescent="0.25">
      <c r="A529" s="18"/>
    </row>
    <row r="530" spans="1:1" ht="14.25" customHeight="1" x14ac:dyDescent="0.25">
      <c r="A530" s="18"/>
    </row>
    <row r="531" spans="1:1" ht="14.25" customHeight="1" x14ac:dyDescent="0.25">
      <c r="A531" s="18"/>
    </row>
    <row r="532" spans="1:1" ht="14.25" customHeight="1" x14ac:dyDescent="0.25">
      <c r="A532" s="18"/>
    </row>
    <row r="533" spans="1:1" ht="14.25" customHeight="1" x14ac:dyDescent="0.25">
      <c r="A533" s="18"/>
    </row>
    <row r="534" spans="1:1" ht="14.25" customHeight="1" x14ac:dyDescent="0.25">
      <c r="A534" s="18"/>
    </row>
    <row r="535" spans="1:1" ht="14.25" customHeight="1" x14ac:dyDescent="0.25">
      <c r="A535" s="18"/>
    </row>
    <row r="536" spans="1:1" ht="14.25" customHeight="1" x14ac:dyDescent="0.25">
      <c r="A536" s="18"/>
    </row>
    <row r="537" spans="1:1" ht="14.25" customHeight="1" x14ac:dyDescent="0.25">
      <c r="A537" s="18"/>
    </row>
    <row r="538" spans="1:1" ht="14.25" customHeight="1" x14ac:dyDescent="0.25">
      <c r="A538" s="18"/>
    </row>
    <row r="539" spans="1:1" ht="14.25" customHeight="1" x14ac:dyDescent="0.25">
      <c r="A539" s="18"/>
    </row>
    <row r="540" spans="1:1" ht="14.25" customHeight="1" x14ac:dyDescent="0.25">
      <c r="A540" s="18"/>
    </row>
    <row r="541" spans="1:1" ht="14.25" customHeight="1" x14ac:dyDescent="0.25">
      <c r="A541" s="18"/>
    </row>
    <row r="542" spans="1:1" ht="14.25" customHeight="1" x14ac:dyDescent="0.25">
      <c r="A542" s="18"/>
    </row>
    <row r="543" spans="1:1" ht="14.25" customHeight="1" x14ac:dyDescent="0.25">
      <c r="A543" s="18"/>
    </row>
    <row r="544" spans="1:1" ht="14.25" customHeight="1" x14ac:dyDescent="0.25">
      <c r="A544" s="18"/>
    </row>
    <row r="545" spans="1:1" ht="14.25" customHeight="1" x14ac:dyDescent="0.25">
      <c r="A545" s="18"/>
    </row>
    <row r="546" spans="1:1" ht="14.25" customHeight="1" x14ac:dyDescent="0.25">
      <c r="A546" s="18"/>
    </row>
    <row r="547" spans="1:1" ht="14.25" customHeight="1" x14ac:dyDescent="0.25">
      <c r="A547" s="18"/>
    </row>
    <row r="548" spans="1:1" ht="14.25" customHeight="1" x14ac:dyDescent="0.25">
      <c r="A548" s="18"/>
    </row>
    <row r="549" spans="1:1" ht="14.25" customHeight="1" x14ac:dyDescent="0.25">
      <c r="A549" s="18"/>
    </row>
    <row r="550" spans="1:1" ht="14.25" customHeight="1" x14ac:dyDescent="0.25">
      <c r="A550" s="18"/>
    </row>
    <row r="551" spans="1:1" ht="14.25" customHeight="1" x14ac:dyDescent="0.25">
      <c r="A551" s="18"/>
    </row>
    <row r="552" spans="1:1" ht="14.25" customHeight="1" x14ac:dyDescent="0.25">
      <c r="A552" s="18"/>
    </row>
    <row r="553" spans="1:1" ht="14.25" customHeight="1" x14ac:dyDescent="0.25">
      <c r="A553" s="18"/>
    </row>
    <row r="554" spans="1:1" ht="14.25" customHeight="1" x14ac:dyDescent="0.25">
      <c r="A554" s="18"/>
    </row>
    <row r="555" spans="1:1" ht="14.25" customHeight="1" x14ac:dyDescent="0.25">
      <c r="A555" s="18"/>
    </row>
    <row r="556" spans="1:1" ht="14.25" customHeight="1" x14ac:dyDescent="0.25">
      <c r="A556" s="18"/>
    </row>
    <row r="557" spans="1:1" ht="14.25" customHeight="1" x14ac:dyDescent="0.25">
      <c r="A557" s="18"/>
    </row>
    <row r="558" spans="1:1" ht="14.25" customHeight="1" x14ac:dyDescent="0.25">
      <c r="A558" s="18"/>
    </row>
    <row r="559" spans="1:1" ht="14.25" customHeight="1" x14ac:dyDescent="0.25">
      <c r="A559" s="18"/>
    </row>
    <row r="560" spans="1:1" ht="14.25" customHeight="1" x14ac:dyDescent="0.25">
      <c r="A560" s="18"/>
    </row>
    <row r="561" spans="1:1" ht="14.25" customHeight="1" x14ac:dyDescent="0.25">
      <c r="A561" s="18"/>
    </row>
    <row r="562" spans="1:1" ht="14.25" customHeight="1" x14ac:dyDescent="0.25">
      <c r="A562" s="18"/>
    </row>
    <row r="563" spans="1:1" ht="14.25" customHeight="1" x14ac:dyDescent="0.25">
      <c r="A563" s="18"/>
    </row>
    <row r="564" spans="1:1" ht="14.25" customHeight="1" x14ac:dyDescent="0.25">
      <c r="A564" s="18"/>
    </row>
    <row r="565" spans="1:1" ht="14.25" customHeight="1" x14ac:dyDescent="0.25">
      <c r="A565" s="18"/>
    </row>
    <row r="566" spans="1:1" ht="14.25" customHeight="1" x14ac:dyDescent="0.25">
      <c r="A566" s="18"/>
    </row>
    <row r="567" spans="1:1" ht="14.25" customHeight="1" x14ac:dyDescent="0.25">
      <c r="A567" s="18"/>
    </row>
    <row r="568" spans="1:1" ht="14.25" customHeight="1" x14ac:dyDescent="0.25">
      <c r="A568" s="18"/>
    </row>
    <row r="569" spans="1:1" ht="14.25" customHeight="1" x14ac:dyDescent="0.25">
      <c r="A569" s="18"/>
    </row>
    <row r="570" spans="1:1" ht="14.25" customHeight="1" x14ac:dyDescent="0.25">
      <c r="A570" s="18"/>
    </row>
    <row r="571" spans="1:1" ht="14.25" customHeight="1" x14ac:dyDescent="0.25">
      <c r="A571" s="18"/>
    </row>
    <row r="572" spans="1:1" ht="14.25" customHeight="1" x14ac:dyDescent="0.25">
      <c r="A572" s="18"/>
    </row>
    <row r="573" spans="1:1" ht="14.25" customHeight="1" x14ac:dyDescent="0.25">
      <c r="A573" s="18"/>
    </row>
    <row r="574" spans="1:1" ht="14.25" customHeight="1" x14ac:dyDescent="0.25">
      <c r="A574" s="18"/>
    </row>
    <row r="575" spans="1:1" ht="14.25" customHeight="1" x14ac:dyDescent="0.25">
      <c r="A575" s="18"/>
    </row>
    <row r="576" spans="1:1" ht="14.25" customHeight="1" x14ac:dyDescent="0.25">
      <c r="A576" s="18"/>
    </row>
    <row r="577" spans="1:1" ht="14.25" customHeight="1" x14ac:dyDescent="0.25">
      <c r="A577" s="18"/>
    </row>
    <row r="578" spans="1:1" ht="14.25" customHeight="1" x14ac:dyDescent="0.25">
      <c r="A578" s="18"/>
    </row>
    <row r="579" spans="1:1" ht="14.25" customHeight="1" x14ac:dyDescent="0.25">
      <c r="A579" s="18"/>
    </row>
    <row r="580" spans="1:1" ht="14.25" customHeight="1" x14ac:dyDescent="0.25">
      <c r="A580" s="18"/>
    </row>
    <row r="581" spans="1:1" ht="14.25" customHeight="1" x14ac:dyDescent="0.25">
      <c r="A581" s="18"/>
    </row>
    <row r="582" spans="1:1" ht="14.25" customHeight="1" x14ac:dyDescent="0.25">
      <c r="A582" s="18"/>
    </row>
    <row r="583" spans="1:1" ht="14.25" customHeight="1" x14ac:dyDescent="0.25">
      <c r="A583" s="18"/>
    </row>
    <row r="584" spans="1:1" ht="14.25" customHeight="1" x14ac:dyDescent="0.25">
      <c r="A584" s="18"/>
    </row>
    <row r="585" spans="1:1" ht="14.25" customHeight="1" x14ac:dyDescent="0.25">
      <c r="A585" s="18"/>
    </row>
    <row r="586" spans="1:1" ht="14.25" customHeight="1" x14ac:dyDescent="0.25">
      <c r="A586" s="18"/>
    </row>
    <row r="587" spans="1:1" ht="14.25" customHeight="1" x14ac:dyDescent="0.25">
      <c r="A587" s="18"/>
    </row>
    <row r="588" spans="1:1" ht="14.25" customHeight="1" x14ac:dyDescent="0.25">
      <c r="A588" s="18"/>
    </row>
    <row r="589" spans="1:1" ht="14.25" customHeight="1" x14ac:dyDescent="0.25">
      <c r="A589" s="18"/>
    </row>
    <row r="590" spans="1:1" ht="14.25" customHeight="1" x14ac:dyDescent="0.25">
      <c r="A590" s="18"/>
    </row>
    <row r="591" spans="1:1" ht="14.25" customHeight="1" x14ac:dyDescent="0.25">
      <c r="A591" s="18"/>
    </row>
    <row r="592" spans="1:1" ht="14.25" customHeight="1" x14ac:dyDescent="0.25">
      <c r="A592" s="18"/>
    </row>
    <row r="593" spans="1:1" ht="14.25" customHeight="1" x14ac:dyDescent="0.25">
      <c r="A593" s="18"/>
    </row>
    <row r="594" spans="1:1" ht="14.25" customHeight="1" x14ac:dyDescent="0.25">
      <c r="A594" s="18"/>
    </row>
    <row r="595" spans="1:1" ht="14.25" customHeight="1" x14ac:dyDescent="0.25">
      <c r="A595" s="18"/>
    </row>
    <row r="596" spans="1:1" ht="14.25" customHeight="1" x14ac:dyDescent="0.25">
      <c r="A596" s="18"/>
    </row>
    <row r="597" spans="1:1" ht="14.25" customHeight="1" x14ac:dyDescent="0.25">
      <c r="A597" s="18"/>
    </row>
    <row r="598" spans="1:1" ht="14.25" customHeight="1" x14ac:dyDescent="0.25">
      <c r="A598" s="18"/>
    </row>
    <row r="599" spans="1:1" ht="14.25" customHeight="1" x14ac:dyDescent="0.25">
      <c r="A599" s="18"/>
    </row>
    <row r="600" spans="1:1" ht="14.25" customHeight="1" x14ac:dyDescent="0.25">
      <c r="A600" s="18"/>
    </row>
    <row r="601" spans="1:1" ht="14.25" customHeight="1" x14ac:dyDescent="0.25">
      <c r="A601" s="18"/>
    </row>
    <row r="602" spans="1:1" ht="14.25" customHeight="1" x14ac:dyDescent="0.25">
      <c r="A602" s="18"/>
    </row>
    <row r="603" spans="1:1" ht="14.25" customHeight="1" x14ac:dyDescent="0.25">
      <c r="A603" s="18"/>
    </row>
    <row r="604" spans="1:1" ht="14.25" customHeight="1" x14ac:dyDescent="0.25">
      <c r="A604" s="18"/>
    </row>
    <row r="605" spans="1:1" ht="14.25" customHeight="1" x14ac:dyDescent="0.25">
      <c r="A605" s="18"/>
    </row>
    <row r="606" spans="1:1" ht="14.25" customHeight="1" x14ac:dyDescent="0.25">
      <c r="A606" s="18"/>
    </row>
    <row r="607" spans="1:1" ht="14.25" customHeight="1" x14ac:dyDescent="0.25">
      <c r="A607" s="18"/>
    </row>
    <row r="608" spans="1:1" ht="14.25" customHeight="1" x14ac:dyDescent="0.25">
      <c r="A608" s="18"/>
    </row>
    <row r="609" spans="1:1" ht="14.25" customHeight="1" x14ac:dyDescent="0.25">
      <c r="A609" s="18"/>
    </row>
    <row r="610" spans="1:1" ht="14.25" customHeight="1" x14ac:dyDescent="0.25">
      <c r="A610" s="18"/>
    </row>
    <row r="611" spans="1:1" ht="14.25" customHeight="1" x14ac:dyDescent="0.25">
      <c r="A611" s="18"/>
    </row>
    <row r="612" spans="1:1" ht="14.25" customHeight="1" x14ac:dyDescent="0.25">
      <c r="A612" s="18"/>
    </row>
    <row r="613" spans="1:1" ht="14.25" customHeight="1" x14ac:dyDescent="0.25">
      <c r="A613" s="18"/>
    </row>
    <row r="614" spans="1:1" ht="14.25" customHeight="1" x14ac:dyDescent="0.25">
      <c r="A614" s="18"/>
    </row>
    <row r="615" spans="1:1" ht="14.25" customHeight="1" x14ac:dyDescent="0.25">
      <c r="A615" s="18"/>
    </row>
    <row r="616" spans="1:1" ht="14.25" customHeight="1" x14ac:dyDescent="0.25">
      <c r="A616" s="18"/>
    </row>
    <row r="617" spans="1:1" ht="14.25" customHeight="1" x14ac:dyDescent="0.25">
      <c r="A617" s="18"/>
    </row>
    <row r="618" spans="1:1" ht="14.25" customHeight="1" x14ac:dyDescent="0.25">
      <c r="A618" s="18"/>
    </row>
    <row r="619" spans="1:1" ht="14.25" customHeight="1" x14ac:dyDescent="0.25">
      <c r="A619" s="18"/>
    </row>
    <row r="620" spans="1:1" ht="14.25" customHeight="1" x14ac:dyDescent="0.25">
      <c r="A620" s="18"/>
    </row>
    <row r="621" spans="1:1" ht="14.25" customHeight="1" x14ac:dyDescent="0.25">
      <c r="A621" s="18"/>
    </row>
    <row r="622" spans="1:1" ht="14.25" customHeight="1" x14ac:dyDescent="0.25">
      <c r="A622" s="18"/>
    </row>
    <row r="623" spans="1:1" ht="14.25" customHeight="1" x14ac:dyDescent="0.25">
      <c r="A623" s="18"/>
    </row>
    <row r="624" spans="1:1" ht="14.25" customHeight="1" x14ac:dyDescent="0.25">
      <c r="A624" s="18"/>
    </row>
    <row r="625" spans="1:1" ht="14.25" customHeight="1" x14ac:dyDescent="0.25">
      <c r="A625" s="18"/>
    </row>
    <row r="626" spans="1:1" ht="14.25" customHeight="1" x14ac:dyDescent="0.25">
      <c r="A626" s="18"/>
    </row>
    <row r="627" spans="1:1" ht="14.25" customHeight="1" x14ac:dyDescent="0.25">
      <c r="A627" s="18"/>
    </row>
    <row r="628" spans="1:1" ht="14.25" customHeight="1" x14ac:dyDescent="0.25">
      <c r="A628" s="18"/>
    </row>
    <row r="629" spans="1:1" ht="14.25" customHeight="1" x14ac:dyDescent="0.25">
      <c r="A629" s="18"/>
    </row>
    <row r="630" spans="1:1" ht="14.25" customHeight="1" x14ac:dyDescent="0.25">
      <c r="A630" s="18"/>
    </row>
    <row r="631" spans="1:1" ht="14.25" customHeight="1" x14ac:dyDescent="0.25">
      <c r="A631" s="18"/>
    </row>
    <row r="632" spans="1:1" ht="14.25" customHeight="1" x14ac:dyDescent="0.25">
      <c r="A632" s="18"/>
    </row>
    <row r="633" spans="1:1" ht="14.25" customHeight="1" x14ac:dyDescent="0.25">
      <c r="A633" s="18"/>
    </row>
    <row r="634" spans="1:1" ht="14.25" customHeight="1" x14ac:dyDescent="0.25">
      <c r="A634" s="18"/>
    </row>
    <row r="635" spans="1:1" ht="14.25" customHeight="1" x14ac:dyDescent="0.25">
      <c r="A635" s="18"/>
    </row>
    <row r="636" spans="1:1" ht="14.25" customHeight="1" x14ac:dyDescent="0.25">
      <c r="A636" s="18"/>
    </row>
    <row r="637" spans="1:1" ht="14.25" customHeight="1" x14ac:dyDescent="0.25">
      <c r="A637" s="18"/>
    </row>
    <row r="638" spans="1:1" ht="14.25" customHeight="1" x14ac:dyDescent="0.25">
      <c r="A638" s="18"/>
    </row>
    <row r="639" spans="1:1" ht="14.25" customHeight="1" x14ac:dyDescent="0.25">
      <c r="A639" s="18"/>
    </row>
    <row r="640" spans="1:1" ht="14.25" customHeight="1" x14ac:dyDescent="0.25">
      <c r="A640" s="18"/>
    </row>
    <row r="641" spans="1:1" ht="14.25" customHeight="1" x14ac:dyDescent="0.25">
      <c r="A641" s="18"/>
    </row>
    <row r="642" spans="1:1" ht="14.25" customHeight="1" x14ac:dyDescent="0.25">
      <c r="A642" s="18"/>
    </row>
    <row r="643" spans="1:1" ht="14.25" customHeight="1" x14ac:dyDescent="0.25">
      <c r="A643" s="18"/>
    </row>
    <row r="644" spans="1:1" ht="14.25" customHeight="1" x14ac:dyDescent="0.25">
      <c r="A644" s="18"/>
    </row>
    <row r="645" spans="1:1" ht="14.25" customHeight="1" x14ac:dyDescent="0.25">
      <c r="A645" s="18"/>
    </row>
    <row r="646" spans="1:1" ht="14.25" customHeight="1" x14ac:dyDescent="0.25">
      <c r="A646" s="18"/>
    </row>
    <row r="647" spans="1:1" ht="14.25" customHeight="1" x14ac:dyDescent="0.25">
      <c r="A647" s="18"/>
    </row>
    <row r="648" spans="1:1" ht="14.25" customHeight="1" x14ac:dyDescent="0.25">
      <c r="A648" s="18"/>
    </row>
    <row r="649" spans="1:1" ht="14.25" customHeight="1" x14ac:dyDescent="0.25">
      <c r="A649" s="18"/>
    </row>
    <row r="650" spans="1:1" ht="14.25" customHeight="1" x14ac:dyDescent="0.25">
      <c r="A650" s="18"/>
    </row>
    <row r="651" spans="1:1" ht="14.25" customHeight="1" x14ac:dyDescent="0.25">
      <c r="A651" s="18"/>
    </row>
    <row r="652" spans="1:1" ht="14.25" customHeight="1" x14ac:dyDescent="0.25">
      <c r="A652" s="18"/>
    </row>
    <row r="653" spans="1:1" ht="14.25" customHeight="1" x14ac:dyDescent="0.25">
      <c r="A653" s="18"/>
    </row>
    <row r="654" spans="1:1" ht="14.25" customHeight="1" x14ac:dyDescent="0.25">
      <c r="A654" s="18"/>
    </row>
    <row r="655" spans="1:1" ht="14.25" customHeight="1" x14ac:dyDescent="0.25">
      <c r="A655" s="18"/>
    </row>
    <row r="656" spans="1:1" ht="14.25" customHeight="1" x14ac:dyDescent="0.25">
      <c r="A656" s="18"/>
    </row>
    <row r="657" spans="1:1" ht="14.25" customHeight="1" x14ac:dyDescent="0.25">
      <c r="A657" s="18"/>
    </row>
    <row r="658" spans="1:1" ht="14.25" customHeight="1" x14ac:dyDescent="0.25">
      <c r="A658" s="18"/>
    </row>
    <row r="659" spans="1:1" ht="14.25" customHeight="1" x14ac:dyDescent="0.25">
      <c r="A659" s="18"/>
    </row>
    <row r="660" spans="1:1" ht="14.25" customHeight="1" x14ac:dyDescent="0.25">
      <c r="A660" s="18"/>
    </row>
    <row r="661" spans="1:1" ht="14.25" customHeight="1" x14ac:dyDescent="0.25">
      <c r="A661" s="18"/>
    </row>
    <row r="662" spans="1:1" ht="14.25" customHeight="1" x14ac:dyDescent="0.25">
      <c r="A662" s="18"/>
    </row>
    <row r="663" spans="1:1" ht="14.25" customHeight="1" x14ac:dyDescent="0.25">
      <c r="A663" s="18"/>
    </row>
    <row r="664" spans="1:1" ht="14.25" customHeight="1" x14ac:dyDescent="0.25">
      <c r="A664" s="18"/>
    </row>
    <row r="665" spans="1:1" ht="14.25" customHeight="1" x14ac:dyDescent="0.25">
      <c r="A665" s="18"/>
    </row>
    <row r="666" spans="1:1" ht="14.25" customHeight="1" x14ac:dyDescent="0.25">
      <c r="A666" s="18"/>
    </row>
    <row r="667" spans="1:1" ht="14.25" customHeight="1" x14ac:dyDescent="0.25">
      <c r="A667" s="18"/>
    </row>
    <row r="668" spans="1:1" ht="14.25" customHeight="1" x14ac:dyDescent="0.25">
      <c r="A668" s="18"/>
    </row>
    <row r="669" spans="1:1" ht="14.25" customHeight="1" x14ac:dyDescent="0.25">
      <c r="A669" s="18"/>
    </row>
    <row r="670" spans="1:1" ht="14.25" customHeight="1" x14ac:dyDescent="0.25">
      <c r="A670" s="18"/>
    </row>
    <row r="671" spans="1:1" ht="14.25" customHeight="1" x14ac:dyDescent="0.25">
      <c r="A671" s="18"/>
    </row>
    <row r="672" spans="1:1" ht="14.25" customHeight="1" x14ac:dyDescent="0.25">
      <c r="A672" s="18"/>
    </row>
    <row r="673" spans="1:1" ht="14.25" customHeight="1" x14ac:dyDescent="0.25">
      <c r="A673" s="18"/>
    </row>
    <row r="674" spans="1:1" ht="14.25" customHeight="1" x14ac:dyDescent="0.25">
      <c r="A674" s="18"/>
    </row>
    <row r="675" spans="1:1" ht="14.25" customHeight="1" x14ac:dyDescent="0.25">
      <c r="A675" s="18"/>
    </row>
    <row r="676" spans="1:1" ht="14.25" customHeight="1" x14ac:dyDescent="0.25">
      <c r="A676" s="18"/>
    </row>
    <row r="677" spans="1:1" ht="14.25" customHeight="1" x14ac:dyDescent="0.25">
      <c r="A677" s="18"/>
    </row>
    <row r="678" spans="1:1" ht="14.25" customHeight="1" x14ac:dyDescent="0.25">
      <c r="A678" s="18"/>
    </row>
    <row r="679" spans="1:1" ht="14.25" customHeight="1" x14ac:dyDescent="0.25">
      <c r="A679" s="18"/>
    </row>
    <row r="680" spans="1:1" ht="14.25" customHeight="1" x14ac:dyDescent="0.25">
      <c r="A680" s="18"/>
    </row>
    <row r="681" spans="1:1" ht="14.25" customHeight="1" x14ac:dyDescent="0.25">
      <c r="A681" s="18"/>
    </row>
    <row r="682" spans="1:1" ht="14.25" customHeight="1" x14ac:dyDescent="0.25">
      <c r="A682" s="18"/>
    </row>
    <row r="683" spans="1:1" ht="14.25" customHeight="1" x14ac:dyDescent="0.25">
      <c r="A683" s="18"/>
    </row>
    <row r="684" spans="1:1" ht="14.25" customHeight="1" x14ac:dyDescent="0.25">
      <c r="A684" s="18"/>
    </row>
    <row r="685" spans="1:1" ht="14.25" customHeight="1" x14ac:dyDescent="0.25">
      <c r="A685" s="18"/>
    </row>
    <row r="686" spans="1:1" ht="14.25" customHeight="1" x14ac:dyDescent="0.25">
      <c r="A686" s="18"/>
    </row>
    <row r="687" spans="1:1" ht="14.25" customHeight="1" x14ac:dyDescent="0.25">
      <c r="A687" s="18"/>
    </row>
    <row r="688" spans="1:1" ht="14.25" customHeight="1" x14ac:dyDescent="0.25">
      <c r="A688" s="18"/>
    </row>
    <row r="689" spans="1:1" ht="14.25" customHeight="1" x14ac:dyDescent="0.25">
      <c r="A689" s="18"/>
    </row>
    <row r="690" spans="1:1" ht="14.25" customHeight="1" x14ac:dyDescent="0.25">
      <c r="A690" s="18"/>
    </row>
    <row r="691" spans="1:1" ht="14.25" customHeight="1" x14ac:dyDescent="0.25">
      <c r="A691" s="18"/>
    </row>
    <row r="692" spans="1:1" ht="14.25" customHeight="1" x14ac:dyDescent="0.25">
      <c r="A692" s="18"/>
    </row>
    <row r="693" spans="1:1" ht="14.25" customHeight="1" x14ac:dyDescent="0.25">
      <c r="A693" s="18"/>
    </row>
    <row r="694" spans="1:1" ht="14.25" customHeight="1" x14ac:dyDescent="0.25">
      <c r="A694" s="18"/>
    </row>
    <row r="695" spans="1:1" ht="14.25" customHeight="1" x14ac:dyDescent="0.25">
      <c r="A695" s="18"/>
    </row>
    <row r="696" spans="1:1" ht="14.25" customHeight="1" x14ac:dyDescent="0.25">
      <c r="A696" s="18"/>
    </row>
    <row r="697" spans="1:1" ht="14.25" customHeight="1" x14ac:dyDescent="0.25">
      <c r="A697" s="18"/>
    </row>
    <row r="698" spans="1:1" ht="14.25" customHeight="1" x14ac:dyDescent="0.25">
      <c r="A698" s="18"/>
    </row>
    <row r="699" spans="1:1" ht="14.25" customHeight="1" x14ac:dyDescent="0.25">
      <c r="A699" s="18"/>
    </row>
    <row r="700" spans="1:1" ht="14.25" customHeight="1" x14ac:dyDescent="0.25">
      <c r="A700" s="18"/>
    </row>
    <row r="701" spans="1:1" ht="14.25" customHeight="1" x14ac:dyDescent="0.25">
      <c r="A701" s="18"/>
    </row>
    <row r="702" spans="1:1" ht="14.25" customHeight="1" x14ac:dyDescent="0.25">
      <c r="A702" s="18"/>
    </row>
    <row r="703" spans="1:1" ht="14.25" customHeight="1" x14ac:dyDescent="0.25">
      <c r="A703" s="18"/>
    </row>
    <row r="704" spans="1:1" ht="14.25" customHeight="1" x14ac:dyDescent="0.25">
      <c r="A704" s="18"/>
    </row>
    <row r="705" spans="1:1" ht="14.25" customHeight="1" x14ac:dyDescent="0.25">
      <c r="A705" s="18"/>
    </row>
    <row r="706" spans="1:1" ht="14.25" customHeight="1" x14ac:dyDescent="0.25">
      <c r="A706" s="18"/>
    </row>
    <row r="707" spans="1:1" ht="14.25" customHeight="1" x14ac:dyDescent="0.25">
      <c r="A707" s="18"/>
    </row>
    <row r="708" spans="1:1" ht="14.25" customHeight="1" x14ac:dyDescent="0.25">
      <c r="A708" s="18"/>
    </row>
    <row r="709" spans="1:1" ht="14.25" customHeight="1" x14ac:dyDescent="0.25">
      <c r="A709" s="18"/>
    </row>
    <row r="710" spans="1:1" ht="14.25" customHeight="1" x14ac:dyDescent="0.25">
      <c r="A710" s="18"/>
    </row>
    <row r="711" spans="1:1" ht="14.25" customHeight="1" x14ac:dyDescent="0.25">
      <c r="A711" s="18"/>
    </row>
    <row r="712" spans="1:1" ht="14.25" customHeight="1" x14ac:dyDescent="0.25">
      <c r="A712" s="18"/>
    </row>
    <row r="713" spans="1:1" ht="14.25" customHeight="1" x14ac:dyDescent="0.25">
      <c r="A713" s="18"/>
    </row>
    <row r="714" spans="1:1" ht="14.25" customHeight="1" x14ac:dyDescent="0.25">
      <c r="A714" s="18"/>
    </row>
    <row r="715" spans="1:1" ht="14.25" customHeight="1" x14ac:dyDescent="0.25">
      <c r="A715" s="18"/>
    </row>
    <row r="716" spans="1:1" ht="14.25" customHeight="1" x14ac:dyDescent="0.25">
      <c r="A716" s="18"/>
    </row>
    <row r="717" spans="1:1" ht="14.25" customHeight="1" x14ac:dyDescent="0.25">
      <c r="A717" s="18"/>
    </row>
    <row r="718" spans="1:1" ht="14.25" customHeight="1" x14ac:dyDescent="0.25">
      <c r="A718" s="18"/>
    </row>
    <row r="719" spans="1:1" ht="14.25" customHeight="1" x14ac:dyDescent="0.25">
      <c r="A719" s="18"/>
    </row>
    <row r="720" spans="1:1" ht="14.25" customHeight="1" x14ac:dyDescent="0.25">
      <c r="A720" s="18"/>
    </row>
    <row r="721" spans="1:1" ht="14.25" customHeight="1" x14ac:dyDescent="0.25">
      <c r="A721" s="18"/>
    </row>
    <row r="722" spans="1:1" ht="14.25" customHeight="1" x14ac:dyDescent="0.25">
      <c r="A722" s="18"/>
    </row>
    <row r="723" spans="1:1" ht="14.25" customHeight="1" x14ac:dyDescent="0.25">
      <c r="A723" s="18"/>
    </row>
    <row r="724" spans="1:1" ht="14.25" customHeight="1" x14ac:dyDescent="0.25">
      <c r="A724" s="18"/>
    </row>
    <row r="725" spans="1:1" ht="14.25" customHeight="1" x14ac:dyDescent="0.25">
      <c r="A725" s="18"/>
    </row>
    <row r="726" spans="1:1" ht="14.25" customHeight="1" x14ac:dyDescent="0.25">
      <c r="A726" s="18"/>
    </row>
    <row r="727" spans="1:1" ht="14.25" customHeight="1" x14ac:dyDescent="0.25">
      <c r="A727" s="18"/>
    </row>
    <row r="728" spans="1:1" ht="14.25" customHeight="1" x14ac:dyDescent="0.25">
      <c r="A728" s="18"/>
    </row>
    <row r="729" spans="1:1" ht="14.25" customHeight="1" x14ac:dyDescent="0.25">
      <c r="A729" s="18"/>
    </row>
    <row r="730" spans="1:1" ht="14.25" customHeight="1" x14ac:dyDescent="0.25">
      <c r="A730" s="18"/>
    </row>
    <row r="731" spans="1:1" ht="14.25" customHeight="1" x14ac:dyDescent="0.25">
      <c r="A731" s="18"/>
    </row>
    <row r="732" spans="1:1" ht="14.25" customHeight="1" x14ac:dyDescent="0.25">
      <c r="A732" s="18"/>
    </row>
    <row r="733" spans="1:1" ht="14.25" customHeight="1" x14ac:dyDescent="0.25">
      <c r="A733" s="18"/>
    </row>
    <row r="734" spans="1:1" ht="14.25" customHeight="1" x14ac:dyDescent="0.25">
      <c r="A734" s="18"/>
    </row>
    <row r="735" spans="1:1" ht="14.25" customHeight="1" x14ac:dyDescent="0.25">
      <c r="A735" s="18"/>
    </row>
    <row r="736" spans="1:1" ht="14.25" customHeight="1" x14ac:dyDescent="0.25">
      <c r="A736" s="18"/>
    </row>
    <row r="737" spans="1:1" ht="14.25" customHeight="1" x14ac:dyDescent="0.25">
      <c r="A737" s="18"/>
    </row>
    <row r="738" spans="1:1" ht="14.25" customHeight="1" x14ac:dyDescent="0.25">
      <c r="A738" s="18"/>
    </row>
    <row r="739" spans="1:1" ht="14.25" customHeight="1" x14ac:dyDescent="0.25">
      <c r="A739" s="18"/>
    </row>
    <row r="740" spans="1:1" ht="14.25" customHeight="1" x14ac:dyDescent="0.25">
      <c r="A740" s="18"/>
    </row>
    <row r="741" spans="1:1" ht="14.25" customHeight="1" x14ac:dyDescent="0.25">
      <c r="A741" s="18"/>
    </row>
    <row r="742" spans="1:1" ht="14.25" customHeight="1" x14ac:dyDescent="0.25">
      <c r="A742" s="18"/>
    </row>
    <row r="743" spans="1:1" ht="14.25" customHeight="1" x14ac:dyDescent="0.25">
      <c r="A743" s="18"/>
    </row>
    <row r="744" spans="1:1" ht="14.25" customHeight="1" x14ac:dyDescent="0.25">
      <c r="A744" s="18"/>
    </row>
    <row r="745" spans="1:1" ht="14.25" customHeight="1" x14ac:dyDescent="0.25">
      <c r="A745" s="18"/>
    </row>
    <row r="746" spans="1:1" ht="14.25" customHeight="1" x14ac:dyDescent="0.25">
      <c r="A746" s="18"/>
    </row>
    <row r="747" spans="1:1" ht="14.25" customHeight="1" x14ac:dyDescent="0.25">
      <c r="A747" s="18"/>
    </row>
    <row r="748" spans="1:1" ht="14.25" customHeight="1" x14ac:dyDescent="0.25">
      <c r="A748" s="18"/>
    </row>
    <row r="749" spans="1:1" ht="14.25" customHeight="1" x14ac:dyDescent="0.25">
      <c r="A749" s="18"/>
    </row>
    <row r="750" spans="1:1" ht="14.25" customHeight="1" x14ac:dyDescent="0.25">
      <c r="A750" s="18"/>
    </row>
    <row r="751" spans="1:1" ht="14.25" customHeight="1" x14ac:dyDescent="0.25">
      <c r="A751" s="18"/>
    </row>
    <row r="752" spans="1:1" ht="14.25" customHeight="1" x14ac:dyDescent="0.25">
      <c r="A752" s="18"/>
    </row>
    <row r="753" spans="1:1" ht="14.25" customHeight="1" x14ac:dyDescent="0.25">
      <c r="A753" s="18"/>
    </row>
    <row r="754" spans="1:1" ht="14.25" customHeight="1" x14ac:dyDescent="0.25">
      <c r="A754" s="18"/>
    </row>
    <row r="755" spans="1:1" ht="14.25" customHeight="1" x14ac:dyDescent="0.25">
      <c r="A755" s="18"/>
    </row>
    <row r="756" spans="1:1" ht="14.25" customHeight="1" x14ac:dyDescent="0.25">
      <c r="A756" s="18"/>
    </row>
    <row r="757" spans="1:1" ht="14.25" customHeight="1" x14ac:dyDescent="0.25">
      <c r="A757" s="18"/>
    </row>
    <row r="758" spans="1:1" ht="14.25" customHeight="1" x14ac:dyDescent="0.25">
      <c r="A758" s="18"/>
    </row>
    <row r="759" spans="1:1" ht="14.25" customHeight="1" x14ac:dyDescent="0.25">
      <c r="A759" s="18"/>
    </row>
    <row r="760" spans="1:1" ht="14.25" customHeight="1" x14ac:dyDescent="0.25">
      <c r="A760" s="18"/>
    </row>
    <row r="761" spans="1:1" ht="14.25" customHeight="1" x14ac:dyDescent="0.25">
      <c r="A761" s="18"/>
    </row>
    <row r="762" spans="1:1" ht="14.25" customHeight="1" x14ac:dyDescent="0.25">
      <c r="A762" s="18"/>
    </row>
    <row r="763" spans="1:1" ht="14.25" customHeight="1" x14ac:dyDescent="0.25">
      <c r="A763" s="18"/>
    </row>
    <row r="764" spans="1:1" ht="14.25" customHeight="1" x14ac:dyDescent="0.25">
      <c r="A764" s="18"/>
    </row>
    <row r="765" spans="1:1" ht="14.25" customHeight="1" x14ac:dyDescent="0.25">
      <c r="A765" s="18"/>
    </row>
    <row r="766" spans="1:1" ht="14.25" customHeight="1" x14ac:dyDescent="0.25">
      <c r="A766" s="18"/>
    </row>
    <row r="767" spans="1:1" ht="14.25" customHeight="1" x14ac:dyDescent="0.25">
      <c r="A767" s="18"/>
    </row>
    <row r="768" spans="1:1" ht="14.25" customHeight="1" x14ac:dyDescent="0.25">
      <c r="A768" s="18"/>
    </row>
    <row r="769" spans="1:1" ht="14.25" customHeight="1" x14ac:dyDescent="0.25">
      <c r="A769" s="18"/>
    </row>
    <row r="770" spans="1:1" ht="14.25" customHeight="1" x14ac:dyDescent="0.25">
      <c r="A770" s="18"/>
    </row>
    <row r="771" spans="1:1" ht="14.25" customHeight="1" x14ac:dyDescent="0.25">
      <c r="A771" s="18"/>
    </row>
    <row r="772" spans="1:1" ht="14.25" customHeight="1" x14ac:dyDescent="0.25">
      <c r="A772" s="18"/>
    </row>
    <row r="773" spans="1:1" ht="14.25" customHeight="1" x14ac:dyDescent="0.25">
      <c r="A773" s="18"/>
    </row>
    <row r="774" spans="1:1" ht="14.25" customHeight="1" x14ac:dyDescent="0.25">
      <c r="A774" s="18"/>
    </row>
    <row r="775" spans="1:1" ht="14.25" customHeight="1" x14ac:dyDescent="0.25">
      <c r="A775" s="18"/>
    </row>
    <row r="776" spans="1:1" ht="14.25" customHeight="1" x14ac:dyDescent="0.25">
      <c r="A776" s="18"/>
    </row>
    <row r="777" spans="1:1" ht="14.25" customHeight="1" x14ac:dyDescent="0.25">
      <c r="A777" s="18"/>
    </row>
    <row r="778" spans="1:1" ht="14.25" customHeight="1" x14ac:dyDescent="0.25">
      <c r="A778" s="18"/>
    </row>
    <row r="779" spans="1:1" ht="14.25" customHeight="1" x14ac:dyDescent="0.25">
      <c r="A779" s="18"/>
    </row>
    <row r="780" spans="1:1" ht="14.25" customHeight="1" x14ac:dyDescent="0.25">
      <c r="A780" s="18"/>
    </row>
    <row r="781" spans="1:1" ht="14.25" customHeight="1" x14ac:dyDescent="0.25">
      <c r="A781" s="18"/>
    </row>
    <row r="782" spans="1:1" ht="14.25" customHeight="1" x14ac:dyDescent="0.25">
      <c r="A782" s="18"/>
    </row>
    <row r="783" spans="1:1" ht="14.25" customHeight="1" x14ac:dyDescent="0.25">
      <c r="A783" s="18"/>
    </row>
    <row r="784" spans="1:1" ht="14.25" customHeight="1" x14ac:dyDescent="0.25">
      <c r="A784" s="18"/>
    </row>
    <row r="785" spans="1:1" ht="14.25" customHeight="1" x14ac:dyDescent="0.25">
      <c r="A785" s="18"/>
    </row>
    <row r="786" spans="1:1" ht="14.25" customHeight="1" x14ac:dyDescent="0.25">
      <c r="A786" s="18"/>
    </row>
    <row r="787" spans="1:1" ht="14.25" customHeight="1" x14ac:dyDescent="0.25">
      <c r="A787" s="18"/>
    </row>
    <row r="788" spans="1:1" ht="14.25" customHeight="1" x14ac:dyDescent="0.25">
      <c r="A788" s="18"/>
    </row>
    <row r="789" spans="1:1" ht="14.25" customHeight="1" x14ac:dyDescent="0.25">
      <c r="A789" s="18"/>
    </row>
    <row r="790" spans="1:1" ht="14.25" customHeight="1" x14ac:dyDescent="0.25">
      <c r="A790" s="18"/>
    </row>
    <row r="791" spans="1:1" ht="14.25" customHeight="1" x14ac:dyDescent="0.25">
      <c r="A791" s="18"/>
    </row>
    <row r="792" spans="1:1" ht="14.25" customHeight="1" x14ac:dyDescent="0.25">
      <c r="A792" s="18"/>
    </row>
    <row r="793" spans="1:1" ht="14.25" customHeight="1" x14ac:dyDescent="0.25">
      <c r="A793" s="18"/>
    </row>
    <row r="794" spans="1:1" ht="14.25" customHeight="1" x14ac:dyDescent="0.25">
      <c r="A794" s="18"/>
    </row>
    <row r="795" spans="1:1" ht="14.25" customHeight="1" x14ac:dyDescent="0.25">
      <c r="A795" s="18"/>
    </row>
    <row r="796" spans="1:1" ht="14.25" customHeight="1" x14ac:dyDescent="0.25">
      <c r="A796" s="18"/>
    </row>
    <row r="797" spans="1:1" ht="14.25" customHeight="1" x14ac:dyDescent="0.25">
      <c r="A797" s="18"/>
    </row>
    <row r="798" spans="1:1" ht="14.25" customHeight="1" x14ac:dyDescent="0.25">
      <c r="A798" s="18"/>
    </row>
    <row r="799" spans="1:1" ht="14.25" customHeight="1" x14ac:dyDescent="0.25">
      <c r="A799" s="18"/>
    </row>
    <row r="800" spans="1:1" ht="14.25" customHeight="1" x14ac:dyDescent="0.25">
      <c r="A800" s="18"/>
    </row>
    <row r="801" spans="1:1" ht="14.25" customHeight="1" x14ac:dyDescent="0.25">
      <c r="A801" s="18"/>
    </row>
    <row r="802" spans="1:1" ht="14.25" customHeight="1" x14ac:dyDescent="0.25">
      <c r="A802" s="18"/>
    </row>
    <row r="803" spans="1:1" ht="14.25" customHeight="1" x14ac:dyDescent="0.25">
      <c r="A803" s="18"/>
    </row>
    <row r="804" spans="1:1" ht="14.25" customHeight="1" x14ac:dyDescent="0.25">
      <c r="A804" s="18"/>
    </row>
    <row r="805" spans="1:1" ht="14.25" customHeight="1" x14ac:dyDescent="0.25">
      <c r="A805" s="18"/>
    </row>
    <row r="806" spans="1:1" ht="14.25" customHeight="1" x14ac:dyDescent="0.25">
      <c r="A806" s="18"/>
    </row>
    <row r="807" spans="1:1" ht="14.25" customHeight="1" x14ac:dyDescent="0.25">
      <c r="A807" s="18"/>
    </row>
    <row r="808" spans="1:1" ht="14.25" customHeight="1" x14ac:dyDescent="0.25">
      <c r="A808" s="18"/>
    </row>
    <row r="809" spans="1:1" ht="14.25" customHeight="1" x14ac:dyDescent="0.25">
      <c r="A809" s="18"/>
    </row>
    <row r="810" spans="1:1" ht="14.25" customHeight="1" x14ac:dyDescent="0.25">
      <c r="A810" s="18"/>
    </row>
    <row r="811" spans="1:1" ht="14.25" customHeight="1" x14ac:dyDescent="0.25">
      <c r="A811" s="18"/>
    </row>
    <row r="812" spans="1:1" ht="14.25" customHeight="1" x14ac:dyDescent="0.25">
      <c r="A812" s="18"/>
    </row>
    <row r="813" spans="1:1" ht="14.25" customHeight="1" x14ac:dyDescent="0.25">
      <c r="A813" s="18"/>
    </row>
    <row r="814" spans="1:1" ht="14.25" customHeight="1" x14ac:dyDescent="0.25">
      <c r="A814" s="18"/>
    </row>
    <row r="815" spans="1:1" ht="14.25" customHeight="1" x14ac:dyDescent="0.25">
      <c r="A815" s="18"/>
    </row>
    <row r="816" spans="1:1" ht="14.25" customHeight="1" x14ac:dyDescent="0.25">
      <c r="A816" s="18"/>
    </row>
    <row r="817" spans="1:1" ht="14.25" customHeight="1" x14ac:dyDescent="0.25">
      <c r="A817" s="18"/>
    </row>
    <row r="818" spans="1:1" ht="14.25" customHeight="1" x14ac:dyDescent="0.25">
      <c r="A818" s="18"/>
    </row>
    <row r="819" spans="1:1" ht="14.25" customHeight="1" x14ac:dyDescent="0.25">
      <c r="A819" s="18"/>
    </row>
    <row r="820" spans="1:1" ht="14.25" customHeight="1" x14ac:dyDescent="0.25">
      <c r="A820" s="18"/>
    </row>
    <row r="821" spans="1:1" ht="14.25" customHeight="1" x14ac:dyDescent="0.25">
      <c r="A821" s="18"/>
    </row>
    <row r="822" spans="1:1" ht="14.25" customHeight="1" x14ac:dyDescent="0.25">
      <c r="A822" s="18"/>
    </row>
    <row r="823" spans="1:1" ht="14.25" customHeight="1" x14ac:dyDescent="0.25">
      <c r="A823" s="18"/>
    </row>
    <row r="824" spans="1:1" ht="14.25" customHeight="1" x14ac:dyDescent="0.25">
      <c r="A824" s="18"/>
    </row>
    <row r="825" spans="1:1" ht="14.25" customHeight="1" x14ac:dyDescent="0.25">
      <c r="A825" s="18"/>
    </row>
    <row r="826" spans="1:1" ht="14.25" customHeight="1" x14ac:dyDescent="0.25">
      <c r="A826" s="18"/>
    </row>
    <row r="827" spans="1:1" ht="14.25" customHeight="1" x14ac:dyDescent="0.25">
      <c r="A827" s="18"/>
    </row>
    <row r="828" spans="1:1" ht="14.25" customHeight="1" x14ac:dyDescent="0.25">
      <c r="A828" s="18"/>
    </row>
    <row r="829" spans="1:1" ht="14.25" customHeight="1" x14ac:dyDescent="0.25">
      <c r="A829" s="18"/>
    </row>
    <row r="830" spans="1:1" ht="14.25" customHeight="1" x14ac:dyDescent="0.25">
      <c r="A830" s="18"/>
    </row>
    <row r="831" spans="1:1" ht="14.25" customHeight="1" x14ac:dyDescent="0.25">
      <c r="A831" s="18"/>
    </row>
    <row r="832" spans="1:1" ht="14.25" customHeight="1" x14ac:dyDescent="0.25">
      <c r="A832" s="18"/>
    </row>
    <row r="833" spans="1:1" ht="14.25" customHeight="1" x14ac:dyDescent="0.25">
      <c r="A833" s="18"/>
    </row>
    <row r="834" spans="1:1" ht="14.25" customHeight="1" x14ac:dyDescent="0.25">
      <c r="A834" s="18"/>
    </row>
    <row r="835" spans="1:1" ht="14.25" customHeight="1" x14ac:dyDescent="0.25">
      <c r="A835" s="18"/>
    </row>
    <row r="836" spans="1:1" ht="14.25" customHeight="1" x14ac:dyDescent="0.25">
      <c r="A836" s="18"/>
    </row>
    <row r="837" spans="1:1" ht="14.25" customHeight="1" x14ac:dyDescent="0.25">
      <c r="A837" s="18"/>
    </row>
    <row r="838" spans="1:1" ht="14.25" customHeight="1" x14ac:dyDescent="0.25">
      <c r="A838" s="18"/>
    </row>
    <row r="839" spans="1:1" ht="14.25" customHeight="1" x14ac:dyDescent="0.25">
      <c r="A839" s="18"/>
    </row>
    <row r="840" spans="1:1" ht="14.25" customHeight="1" x14ac:dyDescent="0.25">
      <c r="A840" s="18"/>
    </row>
    <row r="841" spans="1:1" ht="14.25" customHeight="1" x14ac:dyDescent="0.25">
      <c r="A841" s="18"/>
    </row>
    <row r="842" spans="1:1" ht="14.25" customHeight="1" x14ac:dyDescent="0.25">
      <c r="A842" s="18"/>
    </row>
    <row r="843" spans="1:1" ht="14.25" customHeight="1" x14ac:dyDescent="0.25">
      <c r="A843" s="18"/>
    </row>
    <row r="844" spans="1:1" ht="14.25" customHeight="1" x14ac:dyDescent="0.25">
      <c r="A844" s="18"/>
    </row>
    <row r="845" spans="1:1" ht="14.25" customHeight="1" x14ac:dyDescent="0.25">
      <c r="A845" s="18"/>
    </row>
    <row r="846" spans="1:1" ht="14.25" customHeight="1" x14ac:dyDescent="0.25">
      <c r="A846" s="18"/>
    </row>
    <row r="847" spans="1:1" ht="14.25" customHeight="1" x14ac:dyDescent="0.25">
      <c r="A847" s="18"/>
    </row>
    <row r="848" spans="1:1" ht="14.25" customHeight="1" x14ac:dyDescent="0.25">
      <c r="A848" s="18"/>
    </row>
    <row r="849" spans="1:1" ht="14.25" customHeight="1" x14ac:dyDescent="0.25">
      <c r="A849" s="18"/>
    </row>
    <row r="850" spans="1:1" ht="14.25" customHeight="1" x14ac:dyDescent="0.25">
      <c r="A850" s="18"/>
    </row>
    <row r="851" spans="1:1" ht="14.25" customHeight="1" x14ac:dyDescent="0.25">
      <c r="A851" s="18"/>
    </row>
    <row r="852" spans="1:1" ht="14.25" customHeight="1" x14ac:dyDescent="0.25">
      <c r="A852" s="18"/>
    </row>
    <row r="853" spans="1:1" ht="14.25" customHeight="1" x14ac:dyDescent="0.25">
      <c r="A853" s="18"/>
    </row>
    <row r="854" spans="1:1" ht="14.25" customHeight="1" x14ac:dyDescent="0.25">
      <c r="A854" s="18"/>
    </row>
    <row r="855" spans="1:1" ht="14.25" customHeight="1" x14ac:dyDescent="0.25">
      <c r="A855" s="18"/>
    </row>
    <row r="856" spans="1:1" ht="14.25" customHeight="1" x14ac:dyDescent="0.25">
      <c r="A856" s="18"/>
    </row>
    <row r="857" spans="1:1" ht="14.25" customHeight="1" x14ac:dyDescent="0.25">
      <c r="A857" s="18"/>
    </row>
    <row r="858" spans="1:1" ht="14.25" customHeight="1" x14ac:dyDescent="0.25">
      <c r="A858" s="18"/>
    </row>
    <row r="859" spans="1:1" ht="14.25" customHeight="1" x14ac:dyDescent="0.25">
      <c r="A859" s="18"/>
    </row>
    <row r="860" spans="1:1" ht="14.25" customHeight="1" x14ac:dyDescent="0.25">
      <c r="A860" s="18"/>
    </row>
    <row r="861" spans="1:1" ht="14.25" customHeight="1" x14ac:dyDescent="0.25">
      <c r="A861" s="18"/>
    </row>
    <row r="862" spans="1:1" ht="14.25" customHeight="1" x14ac:dyDescent="0.25">
      <c r="A862" s="18"/>
    </row>
    <row r="863" spans="1:1" ht="14.25" customHeight="1" x14ac:dyDescent="0.25">
      <c r="A863" s="18"/>
    </row>
    <row r="864" spans="1:1" ht="14.25" customHeight="1" x14ac:dyDescent="0.25">
      <c r="A864" s="18"/>
    </row>
    <row r="865" spans="1:1" ht="14.25" customHeight="1" x14ac:dyDescent="0.25">
      <c r="A865" s="18"/>
    </row>
    <row r="866" spans="1:1" ht="14.25" customHeight="1" x14ac:dyDescent="0.25">
      <c r="A866" s="18"/>
    </row>
    <row r="867" spans="1:1" ht="14.25" customHeight="1" x14ac:dyDescent="0.25">
      <c r="A867" s="18"/>
    </row>
    <row r="868" spans="1:1" ht="14.25" customHeight="1" x14ac:dyDescent="0.25">
      <c r="A868" s="18"/>
    </row>
    <row r="869" spans="1:1" ht="14.25" customHeight="1" x14ac:dyDescent="0.25">
      <c r="A869" s="18"/>
    </row>
    <row r="870" spans="1:1" ht="14.25" customHeight="1" x14ac:dyDescent="0.25">
      <c r="A870" s="18"/>
    </row>
    <row r="871" spans="1:1" ht="14.25" customHeight="1" x14ac:dyDescent="0.25">
      <c r="A871" s="18"/>
    </row>
    <row r="872" spans="1:1" ht="14.25" customHeight="1" x14ac:dyDescent="0.25">
      <c r="A872" s="18"/>
    </row>
    <row r="873" spans="1:1" ht="14.25" customHeight="1" x14ac:dyDescent="0.25">
      <c r="A873" s="18"/>
    </row>
    <row r="874" spans="1:1" ht="14.25" customHeight="1" x14ac:dyDescent="0.25">
      <c r="A874" s="18"/>
    </row>
    <row r="875" spans="1:1" ht="14.25" customHeight="1" x14ac:dyDescent="0.25">
      <c r="A875" s="18"/>
    </row>
    <row r="876" spans="1:1" ht="14.25" customHeight="1" x14ac:dyDescent="0.25">
      <c r="A876" s="18"/>
    </row>
    <row r="877" spans="1:1" ht="14.25" customHeight="1" x14ac:dyDescent="0.25">
      <c r="A877" s="18"/>
    </row>
    <row r="878" spans="1:1" ht="14.25" customHeight="1" x14ac:dyDescent="0.25">
      <c r="A878" s="18"/>
    </row>
    <row r="879" spans="1:1" ht="14.25" customHeight="1" x14ac:dyDescent="0.25">
      <c r="A879" s="18"/>
    </row>
    <row r="880" spans="1:1" ht="14.25" customHeight="1" x14ac:dyDescent="0.25">
      <c r="A880" s="18"/>
    </row>
    <row r="881" spans="1:1" ht="14.25" customHeight="1" x14ac:dyDescent="0.25">
      <c r="A881" s="18"/>
    </row>
    <row r="882" spans="1:1" ht="14.25" customHeight="1" x14ac:dyDescent="0.25">
      <c r="A882" s="18"/>
    </row>
    <row r="883" spans="1:1" ht="14.25" customHeight="1" x14ac:dyDescent="0.25">
      <c r="A883" s="18"/>
    </row>
    <row r="884" spans="1:1" ht="14.25" customHeight="1" x14ac:dyDescent="0.25">
      <c r="A884" s="18"/>
    </row>
    <row r="885" spans="1:1" ht="14.25" customHeight="1" x14ac:dyDescent="0.25">
      <c r="A885" s="18"/>
    </row>
    <row r="886" spans="1:1" ht="14.25" customHeight="1" x14ac:dyDescent="0.25">
      <c r="A886" s="18"/>
    </row>
    <row r="887" spans="1:1" ht="14.25" customHeight="1" x14ac:dyDescent="0.25">
      <c r="A887" s="18"/>
    </row>
    <row r="888" spans="1:1" ht="14.25" customHeight="1" x14ac:dyDescent="0.25">
      <c r="A888" s="18"/>
    </row>
    <row r="889" spans="1:1" ht="14.25" customHeight="1" x14ac:dyDescent="0.25">
      <c r="A889" s="18"/>
    </row>
    <row r="890" spans="1:1" ht="14.25" customHeight="1" x14ac:dyDescent="0.25">
      <c r="A890" s="18"/>
    </row>
    <row r="891" spans="1:1" ht="14.25" customHeight="1" x14ac:dyDescent="0.25">
      <c r="A891" s="18"/>
    </row>
    <row r="892" spans="1:1" ht="14.25" customHeight="1" x14ac:dyDescent="0.25">
      <c r="A892" s="18"/>
    </row>
    <row r="893" spans="1:1" ht="14.25" customHeight="1" x14ac:dyDescent="0.25">
      <c r="A893" s="18"/>
    </row>
    <row r="894" spans="1:1" ht="14.25" customHeight="1" x14ac:dyDescent="0.25">
      <c r="A894" s="18"/>
    </row>
    <row r="895" spans="1:1" ht="14.25" customHeight="1" x14ac:dyDescent="0.25">
      <c r="A895" s="18"/>
    </row>
    <row r="896" spans="1:1" ht="14.25" customHeight="1" x14ac:dyDescent="0.25">
      <c r="A896" s="18"/>
    </row>
    <row r="897" spans="1:1" ht="14.25" customHeight="1" x14ac:dyDescent="0.25">
      <c r="A897" s="18"/>
    </row>
    <row r="898" spans="1:1" ht="14.25" customHeight="1" x14ac:dyDescent="0.25">
      <c r="A898" s="18"/>
    </row>
    <row r="899" spans="1:1" ht="14.25" customHeight="1" x14ac:dyDescent="0.25">
      <c r="A899" s="18"/>
    </row>
    <row r="900" spans="1:1" ht="14.25" customHeight="1" x14ac:dyDescent="0.25">
      <c r="A900" s="18"/>
    </row>
    <row r="901" spans="1:1" ht="14.25" customHeight="1" x14ac:dyDescent="0.25">
      <c r="A901" s="18"/>
    </row>
    <row r="902" spans="1:1" ht="14.25" customHeight="1" x14ac:dyDescent="0.25">
      <c r="A902" s="18"/>
    </row>
    <row r="903" spans="1:1" ht="14.25" customHeight="1" x14ac:dyDescent="0.25">
      <c r="A903" s="18"/>
    </row>
    <row r="904" spans="1:1" ht="14.25" customHeight="1" x14ac:dyDescent="0.25">
      <c r="A904" s="18"/>
    </row>
    <row r="905" spans="1:1" ht="14.25" customHeight="1" x14ac:dyDescent="0.25">
      <c r="A905" s="18"/>
    </row>
    <row r="906" spans="1:1" ht="14.25" customHeight="1" x14ac:dyDescent="0.25">
      <c r="A906" s="18"/>
    </row>
    <row r="907" spans="1:1" ht="14.25" customHeight="1" x14ac:dyDescent="0.25">
      <c r="A907" s="18"/>
    </row>
    <row r="908" spans="1:1" ht="14.25" customHeight="1" x14ac:dyDescent="0.25">
      <c r="A908" s="18"/>
    </row>
    <row r="909" spans="1:1" ht="14.25" customHeight="1" x14ac:dyDescent="0.25">
      <c r="A909" s="18"/>
    </row>
    <row r="910" spans="1:1" ht="14.25" customHeight="1" x14ac:dyDescent="0.25">
      <c r="A910" s="18"/>
    </row>
    <row r="911" spans="1:1" ht="14.25" customHeight="1" x14ac:dyDescent="0.25">
      <c r="A911" s="18"/>
    </row>
    <row r="912" spans="1:1" ht="14.25" customHeight="1" x14ac:dyDescent="0.25">
      <c r="A912" s="18"/>
    </row>
    <row r="913" spans="1:1" ht="14.25" customHeight="1" x14ac:dyDescent="0.25">
      <c r="A913" s="18"/>
    </row>
    <row r="914" spans="1:1" ht="14.25" customHeight="1" x14ac:dyDescent="0.25">
      <c r="A914" s="18"/>
    </row>
    <row r="915" spans="1:1" ht="14.25" customHeight="1" x14ac:dyDescent="0.25">
      <c r="A915" s="18"/>
    </row>
    <row r="916" spans="1:1" ht="14.25" customHeight="1" x14ac:dyDescent="0.25">
      <c r="A916" s="18"/>
    </row>
    <row r="917" spans="1:1" ht="14.25" customHeight="1" x14ac:dyDescent="0.25">
      <c r="A917" s="18"/>
    </row>
    <row r="918" spans="1:1" ht="14.25" customHeight="1" x14ac:dyDescent="0.25">
      <c r="A918" s="18"/>
    </row>
    <row r="919" spans="1:1" ht="14.25" customHeight="1" x14ac:dyDescent="0.25">
      <c r="A919" s="18"/>
    </row>
    <row r="920" spans="1:1" ht="14.25" customHeight="1" x14ac:dyDescent="0.25">
      <c r="A920" s="18"/>
    </row>
    <row r="921" spans="1:1" ht="14.25" customHeight="1" x14ac:dyDescent="0.25">
      <c r="A921" s="18"/>
    </row>
    <row r="922" spans="1:1" ht="14.25" customHeight="1" x14ac:dyDescent="0.25">
      <c r="A922" s="18"/>
    </row>
    <row r="923" spans="1:1" ht="14.25" customHeight="1" x14ac:dyDescent="0.25">
      <c r="A923" s="18"/>
    </row>
    <row r="924" spans="1:1" ht="14.25" customHeight="1" x14ac:dyDescent="0.25">
      <c r="A924" s="18"/>
    </row>
    <row r="925" spans="1:1" ht="14.25" customHeight="1" x14ac:dyDescent="0.25">
      <c r="A925" s="18"/>
    </row>
    <row r="926" spans="1:1" ht="14.25" customHeight="1" x14ac:dyDescent="0.25">
      <c r="A926" s="18"/>
    </row>
    <row r="927" spans="1:1" ht="14.25" customHeight="1" x14ac:dyDescent="0.25">
      <c r="A927" s="18"/>
    </row>
    <row r="928" spans="1:1" ht="14.25" customHeight="1" x14ac:dyDescent="0.25">
      <c r="A928" s="18"/>
    </row>
    <row r="929" spans="1:1" ht="14.25" customHeight="1" x14ac:dyDescent="0.25">
      <c r="A929" s="18"/>
    </row>
    <row r="930" spans="1:1" ht="14.25" customHeight="1" x14ac:dyDescent="0.25">
      <c r="A930" s="18"/>
    </row>
    <row r="931" spans="1:1" ht="14.25" customHeight="1" x14ac:dyDescent="0.25">
      <c r="A931" s="18"/>
    </row>
    <row r="932" spans="1:1" ht="14.25" customHeight="1" x14ac:dyDescent="0.25">
      <c r="A932" s="18"/>
    </row>
    <row r="933" spans="1:1" ht="14.25" customHeight="1" x14ac:dyDescent="0.25">
      <c r="A933" s="18"/>
    </row>
    <row r="934" spans="1:1" ht="14.25" customHeight="1" x14ac:dyDescent="0.25">
      <c r="A934" s="18"/>
    </row>
    <row r="935" spans="1:1" ht="14.25" customHeight="1" x14ac:dyDescent="0.25">
      <c r="A935" s="18"/>
    </row>
    <row r="936" spans="1:1" ht="14.25" customHeight="1" x14ac:dyDescent="0.25">
      <c r="A936" s="18"/>
    </row>
    <row r="937" spans="1:1" ht="14.25" customHeight="1" x14ac:dyDescent="0.25">
      <c r="A937" s="18"/>
    </row>
    <row r="938" spans="1:1" ht="14.25" customHeight="1" x14ac:dyDescent="0.25">
      <c r="A938" s="18"/>
    </row>
    <row r="939" spans="1:1" ht="14.25" customHeight="1" x14ac:dyDescent="0.25">
      <c r="A939" s="18"/>
    </row>
    <row r="940" spans="1:1" ht="14.25" customHeight="1" x14ac:dyDescent="0.25">
      <c r="A940" s="18"/>
    </row>
    <row r="941" spans="1:1" ht="14.25" customHeight="1" x14ac:dyDescent="0.25">
      <c r="A941" s="18"/>
    </row>
    <row r="942" spans="1:1" ht="14.25" customHeight="1" x14ac:dyDescent="0.25">
      <c r="A942" s="18"/>
    </row>
    <row r="943" spans="1:1" ht="14.25" customHeight="1" x14ac:dyDescent="0.25">
      <c r="A943" s="18"/>
    </row>
    <row r="944" spans="1:1" ht="14.25" customHeight="1" x14ac:dyDescent="0.25">
      <c r="A944" s="18"/>
    </row>
    <row r="945" spans="1:1" ht="14.25" customHeight="1" x14ac:dyDescent="0.25">
      <c r="A945" s="18"/>
    </row>
    <row r="946" spans="1:1" ht="14.25" customHeight="1" x14ac:dyDescent="0.25">
      <c r="A946" s="18"/>
    </row>
    <row r="947" spans="1:1" ht="14.25" customHeight="1" x14ac:dyDescent="0.25">
      <c r="A947" s="18"/>
    </row>
    <row r="948" spans="1:1" ht="14.25" customHeight="1" x14ac:dyDescent="0.25">
      <c r="A948" s="18"/>
    </row>
    <row r="949" spans="1:1" ht="14.25" customHeight="1" x14ac:dyDescent="0.25">
      <c r="A949" s="18"/>
    </row>
    <row r="950" spans="1:1" ht="14.25" customHeight="1" x14ac:dyDescent="0.25">
      <c r="A950" s="18"/>
    </row>
    <row r="951" spans="1:1" ht="14.25" customHeight="1" x14ac:dyDescent="0.25">
      <c r="A951" s="18"/>
    </row>
    <row r="952" spans="1:1" ht="14.25" customHeight="1" x14ac:dyDescent="0.25">
      <c r="A952" s="18"/>
    </row>
    <row r="953" spans="1:1" ht="14.25" customHeight="1" x14ac:dyDescent="0.25">
      <c r="A953" s="18"/>
    </row>
    <row r="954" spans="1:1" ht="14.25" customHeight="1" x14ac:dyDescent="0.25">
      <c r="A954" s="18"/>
    </row>
    <row r="955" spans="1:1" ht="14.25" customHeight="1" x14ac:dyDescent="0.25">
      <c r="A955" s="18"/>
    </row>
    <row r="956" spans="1:1" ht="14.25" customHeight="1" x14ac:dyDescent="0.25">
      <c r="A956" s="18"/>
    </row>
    <row r="957" spans="1:1" ht="14.25" customHeight="1" x14ac:dyDescent="0.25">
      <c r="A957" s="18"/>
    </row>
    <row r="958" spans="1:1" ht="14.25" customHeight="1" x14ac:dyDescent="0.25">
      <c r="A958" s="18"/>
    </row>
    <row r="959" spans="1:1" ht="14.25" customHeight="1" x14ac:dyDescent="0.25">
      <c r="A959" s="18"/>
    </row>
    <row r="960" spans="1:1" ht="14.25" customHeight="1" x14ac:dyDescent="0.25">
      <c r="A960" s="18"/>
    </row>
    <row r="961" spans="1:1" ht="14.25" customHeight="1" x14ac:dyDescent="0.25">
      <c r="A961" s="18"/>
    </row>
    <row r="962" spans="1:1" ht="14.25" customHeight="1" x14ac:dyDescent="0.25">
      <c r="A962" s="18"/>
    </row>
    <row r="963" spans="1:1" ht="14.25" customHeight="1" x14ac:dyDescent="0.25">
      <c r="A963" s="18"/>
    </row>
    <row r="964" spans="1:1" ht="14.25" customHeight="1" x14ac:dyDescent="0.25">
      <c r="A964" s="18"/>
    </row>
    <row r="965" spans="1:1" ht="14.25" customHeight="1" x14ac:dyDescent="0.25">
      <c r="A965" s="18"/>
    </row>
    <row r="966" spans="1:1" ht="14.25" customHeight="1" x14ac:dyDescent="0.25">
      <c r="A966" s="18"/>
    </row>
    <row r="967" spans="1:1" ht="14.25" customHeight="1" x14ac:dyDescent="0.25">
      <c r="A967" s="18"/>
    </row>
    <row r="968" spans="1:1" ht="14.25" customHeight="1" x14ac:dyDescent="0.25">
      <c r="A968" s="18"/>
    </row>
    <row r="969" spans="1:1" ht="14.25" customHeight="1" x14ac:dyDescent="0.25">
      <c r="A969" s="18"/>
    </row>
    <row r="970" spans="1:1" ht="14.25" customHeight="1" x14ac:dyDescent="0.25">
      <c r="A970" s="18"/>
    </row>
    <row r="971" spans="1:1" ht="14.25" customHeight="1" x14ac:dyDescent="0.25">
      <c r="A971" s="18"/>
    </row>
    <row r="972" spans="1:1" ht="14.25" customHeight="1" x14ac:dyDescent="0.25">
      <c r="A972" s="18"/>
    </row>
    <row r="973" spans="1:1" ht="14.25" customHeight="1" x14ac:dyDescent="0.25">
      <c r="A973" s="18"/>
    </row>
    <row r="974" spans="1:1" ht="14.25" customHeight="1" x14ac:dyDescent="0.25">
      <c r="A974" s="18"/>
    </row>
    <row r="975" spans="1:1" ht="14.25" customHeight="1" x14ac:dyDescent="0.25">
      <c r="A975" s="18"/>
    </row>
    <row r="976" spans="1:1" ht="14.25" customHeight="1" x14ac:dyDescent="0.25">
      <c r="A976" s="18"/>
    </row>
    <row r="977" spans="1:1" ht="14.25" customHeight="1" x14ac:dyDescent="0.25">
      <c r="A977" s="18"/>
    </row>
    <row r="978" spans="1:1" ht="14.25" customHeight="1" x14ac:dyDescent="0.25">
      <c r="A978" s="18"/>
    </row>
    <row r="979" spans="1:1" ht="14.25" customHeight="1" x14ac:dyDescent="0.25">
      <c r="A979" s="18"/>
    </row>
    <row r="980" spans="1:1" ht="14.25" customHeight="1" x14ac:dyDescent="0.25">
      <c r="A980" s="18"/>
    </row>
    <row r="981" spans="1:1" ht="14.25" customHeight="1" x14ac:dyDescent="0.25">
      <c r="A981" s="18"/>
    </row>
    <row r="982" spans="1:1" ht="14.25" customHeight="1" x14ac:dyDescent="0.25">
      <c r="A982" s="18"/>
    </row>
    <row r="983" spans="1:1" ht="14.25" customHeight="1" x14ac:dyDescent="0.25">
      <c r="A983" s="18"/>
    </row>
    <row r="984" spans="1:1" ht="14.25" customHeight="1" x14ac:dyDescent="0.25">
      <c r="A984" s="18"/>
    </row>
    <row r="985" spans="1:1" ht="14.25" customHeight="1" x14ac:dyDescent="0.25">
      <c r="A985" s="18"/>
    </row>
    <row r="986" spans="1:1" ht="14.25" customHeight="1" x14ac:dyDescent="0.25">
      <c r="A986" s="18"/>
    </row>
    <row r="987" spans="1:1" ht="14.25" customHeight="1" x14ac:dyDescent="0.25">
      <c r="A987" s="18"/>
    </row>
    <row r="988" spans="1:1" ht="14.25" customHeight="1" x14ac:dyDescent="0.25">
      <c r="A988" s="18"/>
    </row>
    <row r="989" spans="1:1" ht="14.25" customHeight="1" x14ac:dyDescent="0.25">
      <c r="A989" s="18"/>
    </row>
    <row r="990" spans="1:1" ht="14.25" customHeight="1" x14ac:dyDescent="0.25">
      <c r="A990" s="18"/>
    </row>
    <row r="991" spans="1:1" ht="14.25" customHeight="1" x14ac:dyDescent="0.25">
      <c r="A991" s="18"/>
    </row>
    <row r="992" spans="1:1" ht="14.25" customHeight="1" x14ac:dyDescent="0.25">
      <c r="A992" s="18"/>
    </row>
    <row r="993" spans="1:1" ht="14.25" customHeight="1" x14ac:dyDescent="0.25">
      <c r="A993" s="18"/>
    </row>
    <row r="994" spans="1:1" ht="14.25" customHeight="1" x14ac:dyDescent="0.25">
      <c r="A994" s="18"/>
    </row>
    <row r="995" spans="1:1" ht="14.25" customHeight="1" x14ac:dyDescent="0.25">
      <c r="A995" s="18"/>
    </row>
    <row r="996" spans="1:1" ht="14.25" customHeight="1" x14ac:dyDescent="0.25">
      <c r="A996" s="18"/>
    </row>
    <row r="997" spans="1:1" ht="14.25" customHeight="1" x14ac:dyDescent="0.25">
      <c r="A997" s="18"/>
    </row>
    <row r="998" spans="1:1" ht="14.25" customHeight="1" x14ac:dyDescent="0.25">
      <c r="A998" s="18"/>
    </row>
    <row r="999" spans="1:1" ht="14.25" customHeight="1" x14ac:dyDescent="0.25">
      <c r="A999" s="18"/>
    </row>
    <row r="1000" spans="1:1" ht="14.25" customHeight="1" x14ac:dyDescent="0.25">
      <c r="A1000" s="18"/>
    </row>
  </sheetData>
  <phoneticPr fontId="68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AV948"/>
  <sheetViews>
    <sheetView workbookViewId="0">
      <pane xSplit="1" ySplit="3" topLeftCell="G49" activePane="bottomRight" state="frozen"/>
      <selection pane="topRight" activeCell="B1" sqref="B1"/>
      <selection pane="bottomLeft" activeCell="A4" sqref="A4"/>
      <selection pane="bottomRight" activeCell="H67" sqref="H67"/>
    </sheetView>
  </sheetViews>
  <sheetFormatPr defaultColWidth="14.42578125" defaultRowHeight="15" customHeight="1" outlineLevelCol="1" x14ac:dyDescent="0.25"/>
  <cols>
    <col min="1" max="1" width="42.5703125" customWidth="1"/>
    <col min="2" max="2" width="8.28515625" hidden="1" customWidth="1" outlineLevel="1"/>
    <col min="3" max="3" width="7.5703125" hidden="1" customWidth="1" outlineLevel="1"/>
    <col min="4" max="4" width="7" hidden="1" customWidth="1" outlineLevel="1"/>
    <col min="5" max="5" width="6.140625" hidden="1" customWidth="1" outlineLevel="1"/>
    <col min="6" max="6" width="5.7109375" hidden="1" customWidth="1" outlineLevel="1"/>
    <col min="7" max="7" width="8.7109375" customWidth="1" outlineLevel="1"/>
    <col min="8" max="8" width="39" customWidth="1"/>
    <col min="9" max="9" width="6.42578125" customWidth="1"/>
    <col min="10" max="10" width="25.7109375" customWidth="1" outlineLevel="1"/>
    <col min="11" max="11" width="26.42578125" customWidth="1" outlineLevel="1"/>
    <col min="12" max="12" width="15" customWidth="1" outlineLevel="1"/>
    <col min="13" max="13" width="14.85546875" customWidth="1" outlineLevel="1"/>
    <col min="14" max="14" width="12" customWidth="1"/>
    <col min="15" max="15" width="41.5703125" customWidth="1"/>
    <col min="16" max="16" width="25.5703125" customWidth="1"/>
    <col min="17" max="17" width="17.28515625" hidden="1" customWidth="1" outlineLevel="1"/>
    <col min="18" max="18" width="7.42578125" hidden="1" customWidth="1" outlineLevel="1"/>
    <col min="19" max="19" width="6.140625" hidden="1" customWidth="1" outlineLevel="1"/>
    <col min="20" max="20" width="6.42578125" hidden="1" customWidth="1" outlineLevel="1"/>
    <col min="21" max="27" width="5.5703125" hidden="1" customWidth="1" outlineLevel="1"/>
    <col min="28" max="28" width="6.42578125" hidden="1" customWidth="1" outlineLevel="1"/>
    <col min="29" max="29" width="6.28515625" hidden="1" customWidth="1" outlineLevel="1"/>
    <col min="30" max="31" width="6.42578125" hidden="1" customWidth="1" outlineLevel="1"/>
    <col min="32" max="32" width="4.42578125" customWidth="1" collapsed="1"/>
    <col min="33" max="39" width="13" hidden="1" customWidth="1" outlineLevel="1"/>
    <col min="40" max="41" width="6.28515625" hidden="1" customWidth="1" outlineLevel="1"/>
    <col min="42" max="42" width="16.28515625" customWidth="1" collapsed="1"/>
    <col min="43" max="43" width="16.28515625" customWidth="1"/>
    <col min="44" max="48" width="8.7109375" customWidth="1"/>
  </cols>
  <sheetData>
    <row r="1" spans="1:48" ht="14.1" customHeight="1" x14ac:dyDescent="0.25">
      <c r="A1" s="132">
        <v>16797</v>
      </c>
      <c r="B1" s="19"/>
      <c r="C1" s="19"/>
      <c r="D1" s="20"/>
      <c r="E1" s="21" t="s">
        <v>74</v>
      </c>
      <c r="F1" s="20"/>
      <c r="G1" s="11"/>
      <c r="H1" s="11"/>
      <c r="I1" s="11"/>
      <c r="J1" s="11"/>
      <c r="K1" s="11"/>
      <c r="L1" s="22"/>
      <c r="M1" s="22"/>
      <c r="N1" s="11"/>
      <c r="O1" s="23"/>
      <c r="P1" s="23"/>
      <c r="Q1" s="142" t="s">
        <v>37</v>
      </c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4"/>
      <c r="AF1" s="24"/>
      <c r="AG1" s="142" t="s">
        <v>75</v>
      </c>
      <c r="AH1" s="143"/>
      <c r="AI1" s="143"/>
      <c r="AJ1" s="143"/>
      <c r="AK1" s="143"/>
      <c r="AL1" s="143"/>
      <c r="AM1" s="143"/>
      <c r="AN1" s="143"/>
      <c r="AO1" s="144"/>
      <c r="AP1" s="24"/>
      <c r="AQ1" s="24"/>
    </row>
    <row r="2" spans="1:48" ht="24.6" customHeight="1" x14ac:dyDescent="0.25">
      <c r="A2" s="25" t="s">
        <v>76</v>
      </c>
      <c r="B2" s="19"/>
      <c r="C2" s="19"/>
      <c r="D2" s="20"/>
      <c r="E2" s="21"/>
      <c r="F2" s="20"/>
      <c r="G2" s="11"/>
      <c r="H2" s="11"/>
      <c r="I2" s="11"/>
      <c r="J2" s="11"/>
      <c r="K2" s="11"/>
      <c r="L2" s="22"/>
      <c r="M2" s="22"/>
      <c r="N2" s="11"/>
      <c r="O2" s="23"/>
      <c r="P2" s="23"/>
      <c r="Q2" s="145" t="s">
        <v>77</v>
      </c>
      <c r="R2" s="144"/>
      <c r="S2" s="26"/>
      <c r="T2" s="146" t="s">
        <v>78</v>
      </c>
      <c r="U2" s="143"/>
      <c r="V2" s="143"/>
      <c r="W2" s="144"/>
      <c r="X2" s="146" t="s">
        <v>79</v>
      </c>
      <c r="Y2" s="143"/>
      <c r="Z2" s="143"/>
      <c r="AA2" s="144"/>
      <c r="AB2" s="147" t="s">
        <v>80</v>
      </c>
      <c r="AC2" s="144"/>
      <c r="AD2" s="146" t="s">
        <v>81</v>
      </c>
      <c r="AE2" s="14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8" ht="39" customHeight="1" x14ac:dyDescent="0.25">
      <c r="A3" s="27" t="s">
        <v>82</v>
      </c>
      <c r="B3" s="28" t="s">
        <v>83</v>
      </c>
      <c r="C3" s="28" t="s">
        <v>84</v>
      </c>
      <c r="D3" s="29" t="s">
        <v>85</v>
      </c>
      <c r="E3" s="29" t="s">
        <v>86</v>
      </c>
      <c r="F3" s="29" t="s">
        <v>87</v>
      </c>
      <c r="G3" s="29" t="s">
        <v>88</v>
      </c>
      <c r="H3" s="29" t="s">
        <v>1</v>
      </c>
      <c r="I3" s="29"/>
      <c r="J3" s="29" t="s">
        <v>12</v>
      </c>
      <c r="K3" s="29" t="s">
        <v>89</v>
      </c>
      <c r="L3" s="30" t="s">
        <v>90</v>
      </c>
      <c r="M3" s="30" t="s">
        <v>91</v>
      </c>
      <c r="N3" s="29" t="s">
        <v>92</v>
      </c>
      <c r="O3" s="28" t="s">
        <v>93</v>
      </c>
      <c r="P3" s="28" t="s">
        <v>94</v>
      </c>
      <c r="Q3" s="31" t="s">
        <v>95</v>
      </c>
      <c r="R3" s="31" t="s">
        <v>96</v>
      </c>
      <c r="S3" s="31" t="s">
        <v>97</v>
      </c>
      <c r="T3" s="32" t="s">
        <v>98</v>
      </c>
      <c r="U3" s="32" t="s">
        <v>99</v>
      </c>
      <c r="V3" s="32" t="s">
        <v>100</v>
      </c>
      <c r="W3" s="32" t="s">
        <v>101</v>
      </c>
      <c r="X3" s="32" t="s">
        <v>98</v>
      </c>
      <c r="Y3" s="32" t="s">
        <v>99</v>
      </c>
      <c r="Z3" s="32" t="s">
        <v>100</v>
      </c>
      <c r="AA3" s="32" t="s">
        <v>101</v>
      </c>
      <c r="AB3" s="32" t="s">
        <v>98</v>
      </c>
      <c r="AC3" s="32" t="s">
        <v>99</v>
      </c>
      <c r="AD3" s="32" t="s">
        <v>98</v>
      </c>
      <c r="AE3" s="32" t="s">
        <v>99</v>
      </c>
      <c r="AF3" s="30"/>
      <c r="AG3" s="32" t="s">
        <v>102</v>
      </c>
      <c r="AH3" s="32" t="s">
        <v>103</v>
      </c>
      <c r="AI3" s="32" t="s">
        <v>104</v>
      </c>
      <c r="AJ3" s="32" t="s">
        <v>105</v>
      </c>
      <c r="AK3" s="32"/>
      <c r="AL3" s="32"/>
      <c r="AM3" s="32"/>
      <c r="AN3" s="32"/>
      <c r="AO3" s="32"/>
      <c r="AP3" s="29" t="s">
        <v>106</v>
      </c>
      <c r="AQ3" s="29" t="s">
        <v>107</v>
      </c>
      <c r="AR3" s="33"/>
      <c r="AS3" s="33"/>
      <c r="AT3" s="33"/>
      <c r="AU3" s="33"/>
      <c r="AV3" s="33"/>
    </row>
    <row r="4" spans="1:48" ht="14.25" customHeight="1" x14ac:dyDescent="0.25">
      <c r="A4" s="1" t="s">
        <v>108</v>
      </c>
      <c r="B4" s="1"/>
      <c r="C4" s="1"/>
      <c r="D4" s="34"/>
      <c r="E4" s="35"/>
      <c r="F4" s="35"/>
      <c r="G4" s="36"/>
      <c r="H4" s="34"/>
      <c r="I4" s="3" t="s">
        <v>109</v>
      </c>
      <c r="J4" s="3"/>
      <c r="K4" s="3"/>
      <c r="L4" s="34" t="s">
        <v>109</v>
      </c>
      <c r="M4" s="34" t="s">
        <v>109</v>
      </c>
      <c r="N4" s="34"/>
      <c r="O4" s="35"/>
      <c r="P4" s="35"/>
      <c r="Q4" s="34"/>
      <c r="R4" s="34"/>
      <c r="S4" s="3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4"/>
      <c r="AH4" s="34"/>
      <c r="AI4" s="34"/>
      <c r="AJ4" s="34"/>
      <c r="AK4" s="34"/>
      <c r="AL4" s="34"/>
      <c r="AM4" s="34"/>
      <c r="AN4" s="3"/>
      <c r="AO4" s="3"/>
      <c r="AP4" s="34"/>
      <c r="AQ4" s="34"/>
      <c r="AR4" s="3"/>
      <c r="AS4" s="3"/>
      <c r="AT4" s="3"/>
      <c r="AU4" s="3"/>
      <c r="AV4" s="3"/>
    </row>
    <row r="5" spans="1:48" ht="14.25" customHeight="1" x14ac:dyDescent="0.25">
      <c r="A5" s="3" t="str">
        <f t="shared" ref="A5:A17" si="0">IF(D5="MCP",E5&amp;F5&amp;G5,B5&amp;C5&amp;D5&amp;E5&amp;F5&amp;G5)</f>
        <v>CP0301</v>
      </c>
      <c r="B5" s="34"/>
      <c r="C5" s="34"/>
      <c r="D5" s="36" t="s">
        <v>110</v>
      </c>
      <c r="E5" s="35" t="s">
        <v>36</v>
      </c>
      <c r="F5" s="35" t="s">
        <v>32</v>
      </c>
      <c r="G5" s="36"/>
      <c r="H5" s="34" t="s">
        <v>111</v>
      </c>
      <c r="I5" s="3">
        <f t="shared" ref="I5:I17" si="1">IF(ISTEXT(H5),LEN(H5),"")</f>
        <v>23</v>
      </c>
      <c r="J5" s="3"/>
      <c r="K5" s="3"/>
      <c r="L5" s="34" t="s">
        <v>109</v>
      </c>
      <c r="M5" s="34" t="s">
        <v>109</v>
      </c>
      <c r="N5" s="37" t="s">
        <v>112</v>
      </c>
      <c r="O5" s="36"/>
      <c r="P5" s="2"/>
      <c r="Q5" s="34"/>
      <c r="R5" s="34"/>
      <c r="S5" s="34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4"/>
      <c r="AH5" s="34"/>
      <c r="AI5" s="34"/>
      <c r="AJ5" s="34"/>
      <c r="AK5" s="34"/>
      <c r="AL5" s="34"/>
      <c r="AM5" s="34"/>
      <c r="AN5" s="3"/>
      <c r="AO5" s="3"/>
      <c r="AP5" s="34"/>
      <c r="AQ5" s="34"/>
      <c r="AR5" s="3"/>
      <c r="AS5" s="3"/>
      <c r="AT5" s="3"/>
      <c r="AU5" s="3"/>
      <c r="AV5" s="3"/>
    </row>
    <row r="6" spans="1:48" ht="14.25" customHeight="1" x14ac:dyDescent="0.25">
      <c r="A6" s="3" t="str">
        <f t="shared" si="0"/>
        <v>OP0301</v>
      </c>
      <c r="B6" s="34"/>
      <c r="C6" s="34"/>
      <c r="D6" s="36" t="s">
        <v>113</v>
      </c>
      <c r="E6" s="36" t="s">
        <v>36</v>
      </c>
      <c r="F6" s="36" t="s">
        <v>32</v>
      </c>
      <c r="G6" s="36"/>
      <c r="H6" s="37" t="s">
        <v>307</v>
      </c>
      <c r="I6" s="3">
        <f t="shared" si="1"/>
        <v>3</v>
      </c>
      <c r="J6" s="3"/>
      <c r="K6" s="3"/>
      <c r="L6" s="34"/>
      <c r="M6" s="34"/>
      <c r="N6" s="37"/>
      <c r="O6" s="36" t="s">
        <v>114</v>
      </c>
      <c r="P6" s="36"/>
      <c r="Q6" s="34"/>
      <c r="R6" s="34"/>
      <c r="S6" s="34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4"/>
      <c r="AH6" s="34"/>
      <c r="AI6" s="34"/>
      <c r="AJ6" s="34"/>
      <c r="AK6" s="34"/>
      <c r="AL6" s="34"/>
      <c r="AM6" s="34"/>
      <c r="AN6" s="3"/>
      <c r="AO6" s="3"/>
      <c r="AP6" s="34"/>
      <c r="AQ6" s="34"/>
      <c r="AR6" s="3"/>
      <c r="AS6" s="3"/>
      <c r="AT6" s="3"/>
      <c r="AU6" s="3"/>
      <c r="AV6" s="3"/>
    </row>
    <row r="7" spans="1:48" ht="14.25" customHeight="1" x14ac:dyDescent="0.25">
      <c r="A7" s="3" t="str">
        <f t="shared" si="0"/>
        <v>OP0302</v>
      </c>
      <c r="B7" s="34"/>
      <c r="C7" s="34"/>
      <c r="D7" s="36" t="s">
        <v>113</v>
      </c>
      <c r="E7" s="36" t="s">
        <v>36</v>
      </c>
      <c r="F7" s="36" t="s">
        <v>34</v>
      </c>
      <c r="G7" s="36"/>
      <c r="H7" s="37" t="s">
        <v>114</v>
      </c>
      <c r="I7" s="3"/>
      <c r="J7" s="3"/>
      <c r="K7" s="3"/>
      <c r="L7" s="34"/>
      <c r="M7" s="34"/>
      <c r="N7" s="37"/>
      <c r="O7" s="36"/>
      <c r="P7" s="36"/>
      <c r="Q7" s="34"/>
      <c r="R7" s="34"/>
      <c r="S7" s="34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4"/>
      <c r="AH7" s="34"/>
      <c r="AI7" s="34"/>
      <c r="AJ7" s="34"/>
      <c r="AK7" s="34"/>
      <c r="AL7" s="34"/>
      <c r="AM7" s="34"/>
      <c r="AN7" s="3"/>
      <c r="AO7" s="3"/>
      <c r="AP7" s="34"/>
      <c r="AQ7" s="34"/>
      <c r="AR7" s="3"/>
      <c r="AS7" s="3"/>
      <c r="AT7" s="3"/>
      <c r="AU7" s="3"/>
      <c r="AV7" s="3"/>
    </row>
    <row r="8" spans="1:48" ht="14.25" customHeight="1" x14ac:dyDescent="0.25">
      <c r="A8" s="3" t="str">
        <f t="shared" si="0"/>
        <v>XC0301</v>
      </c>
      <c r="B8" s="34"/>
      <c r="C8" s="34"/>
      <c r="D8" s="36" t="s">
        <v>115</v>
      </c>
      <c r="E8" s="36" t="s">
        <v>36</v>
      </c>
      <c r="F8" s="36" t="s">
        <v>32</v>
      </c>
      <c r="G8" s="36"/>
      <c r="H8" s="2" t="s">
        <v>116</v>
      </c>
      <c r="I8" s="3">
        <f t="shared" si="1"/>
        <v>3</v>
      </c>
      <c r="J8" s="3"/>
      <c r="K8" s="3"/>
      <c r="L8" s="34"/>
      <c r="M8" s="34"/>
      <c r="N8" s="37" t="s">
        <v>117</v>
      </c>
      <c r="O8" s="36" t="s">
        <v>118</v>
      </c>
      <c r="P8" s="35"/>
      <c r="Q8" s="34"/>
      <c r="R8" s="34"/>
      <c r="S8" s="34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4"/>
      <c r="AH8" s="34"/>
      <c r="AI8" s="34"/>
      <c r="AJ8" s="34"/>
      <c r="AK8" s="34"/>
      <c r="AL8" s="34"/>
      <c r="AM8" s="34"/>
      <c r="AN8" s="3"/>
      <c r="AO8" s="3"/>
      <c r="AP8" s="34"/>
      <c r="AQ8" s="34"/>
      <c r="AR8" s="3"/>
      <c r="AS8" s="3"/>
      <c r="AT8" s="3"/>
      <c r="AU8" s="3"/>
      <c r="AV8" s="3"/>
    </row>
    <row r="9" spans="1:48" ht="14.25" customHeight="1" x14ac:dyDescent="0.25">
      <c r="A9" s="3" t="str">
        <f t="shared" si="0"/>
        <v>XC0302</v>
      </c>
      <c r="B9" s="34"/>
      <c r="C9" s="34"/>
      <c r="D9" s="36" t="s">
        <v>115</v>
      </c>
      <c r="E9" s="36" t="s">
        <v>36</v>
      </c>
      <c r="F9" s="36" t="s">
        <v>34</v>
      </c>
      <c r="G9" s="36"/>
      <c r="H9" s="37" t="s">
        <v>119</v>
      </c>
      <c r="I9" s="3">
        <f t="shared" si="1"/>
        <v>17</v>
      </c>
      <c r="J9" s="3"/>
      <c r="K9" s="3"/>
      <c r="L9" s="34"/>
      <c r="M9" s="34"/>
      <c r="N9" s="37" t="s">
        <v>117</v>
      </c>
      <c r="O9" s="36" t="s">
        <v>120</v>
      </c>
      <c r="P9" s="35"/>
      <c r="Q9" s="34"/>
      <c r="R9" s="34"/>
      <c r="S9" s="34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4"/>
      <c r="AH9" s="34"/>
      <c r="AI9" s="34"/>
      <c r="AJ9" s="34"/>
      <c r="AK9" s="34"/>
      <c r="AL9" s="34"/>
      <c r="AM9" s="34"/>
      <c r="AN9" s="3"/>
      <c r="AO9" s="3"/>
      <c r="AP9" s="34"/>
      <c r="AQ9" s="34"/>
      <c r="AR9" s="3"/>
      <c r="AS9" s="3"/>
      <c r="AT9" s="3"/>
      <c r="AU9" s="3"/>
      <c r="AV9" s="3"/>
    </row>
    <row r="10" spans="1:48" ht="14.25" customHeight="1" x14ac:dyDescent="0.25">
      <c r="A10" s="3" t="str">
        <f t="shared" si="0"/>
        <v>XC0305</v>
      </c>
      <c r="B10" s="34"/>
      <c r="C10" s="34"/>
      <c r="D10" s="36" t="s">
        <v>115</v>
      </c>
      <c r="E10" s="36" t="s">
        <v>36</v>
      </c>
      <c r="F10" s="36" t="s">
        <v>40</v>
      </c>
      <c r="G10" s="36"/>
      <c r="H10" s="36" t="s">
        <v>122</v>
      </c>
      <c r="I10" s="3"/>
      <c r="J10" s="3"/>
      <c r="K10" s="3"/>
      <c r="L10" s="34"/>
      <c r="M10" s="34"/>
      <c r="N10" s="37"/>
      <c r="O10" s="36"/>
      <c r="P10" s="35"/>
      <c r="Q10" s="34"/>
      <c r="R10" s="34"/>
      <c r="S10" s="34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4"/>
      <c r="AH10" s="34"/>
      <c r="AI10" s="34"/>
      <c r="AJ10" s="34"/>
      <c r="AK10" s="34"/>
      <c r="AL10" s="34"/>
      <c r="AM10" s="34"/>
      <c r="AN10" s="3"/>
      <c r="AO10" s="3"/>
      <c r="AP10" s="34"/>
      <c r="AQ10" s="34"/>
      <c r="AR10" s="3"/>
      <c r="AS10" s="3"/>
      <c r="AT10" s="3"/>
      <c r="AU10" s="3"/>
      <c r="AV10" s="3"/>
    </row>
    <row r="11" spans="1:48" ht="14.25" customHeight="1" x14ac:dyDescent="0.25">
      <c r="A11" s="3" t="str">
        <f t="shared" si="0"/>
        <v>XC0320</v>
      </c>
      <c r="B11" s="34"/>
      <c r="C11" s="34"/>
      <c r="D11" s="36" t="s">
        <v>115</v>
      </c>
      <c r="E11" s="36" t="s">
        <v>36</v>
      </c>
      <c r="F11" s="36" t="s">
        <v>61</v>
      </c>
      <c r="G11" s="36"/>
      <c r="H11" s="124" t="s">
        <v>619</v>
      </c>
      <c r="I11" s="3">
        <f t="shared" si="1"/>
        <v>12</v>
      </c>
      <c r="J11" s="3"/>
      <c r="K11" s="3"/>
      <c r="L11" s="34"/>
      <c r="M11" s="34"/>
      <c r="N11" s="124" t="s">
        <v>620</v>
      </c>
      <c r="O11" s="36" t="s">
        <v>621</v>
      </c>
      <c r="P11" s="35"/>
      <c r="Q11" s="34"/>
      <c r="R11" s="34"/>
      <c r="S11" s="34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4"/>
      <c r="AH11" s="34"/>
      <c r="AI11" s="34"/>
      <c r="AJ11" s="34"/>
      <c r="AK11" s="34"/>
      <c r="AL11" s="34"/>
      <c r="AM11" s="34"/>
      <c r="AN11" s="3"/>
      <c r="AO11" s="3"/>
      <c r="AP11" s="34"/>
      <c r="AQ11" s="34"/>
      <c r="AR11" s="3"/>
      <c r="AS11" s="3"/>
      <c r="AT11" s="3"/>
      <c r="AU11" s="3"/>
      <c r="AV11" s="3"/>
    </row>
    <row r="12" spans="1:48" ht="14.25" customHeight="1" x14ac:dyDescent="0.25">
      <c r="A12" s="3" t="str">
        <f t="shared" si="0"/>
        <v>XC0401</v>
      </c>
      <c r="B12" s="36"/>
      <c r="C12" s="36"/>
      <c r="D12" s="36" t="s">
        <v>115</v>
      </c>
      <c r="E12" s="36" t="s">
        <v>38</v>
      </c>
      <c r="F12" s="36" t="s">
        <v>32</v>
      </c>
      <c r="G12" s="36"/>
      <c r="H12" s="36" t="s">
        <v>123</v>
      </c>
      <c r="I12" s="3">
        <f t="shared" si="1"/>
        <v>10</v>
      </c>
      <c r="J12" s="3"/>
      <c r="K12" s="3"/>
      <c r="L12" s="34"/>
      <c r="M12" s="34"/>
      <c r="N12" s="37"/>
      <c r="O12" s="34"/>
      <c r="P12" s="37"/>
      <c r="Q12" s="38"/>
      <c r="R12" s="34"/>
      <c r="S12" s="34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4"/>
      <c r="AH12" s="34"/>
      <c r="AI12" s="34"/>
      <c r="AJ12" s="34"/>
      <c r="AK12" s="34"/>
      <c r="AL12" s="34"/>
      <c r="AM12" s="34"/>
      <c r="AN12" s="3"/>
      <c r="AO12" s="3"/>
      <c r="AP12" s="34"/>
      <c r="AQ12" s="34"/>
      <c r="AR12" s="3"/>
      <c r="AS12" s="3"/>
      <c r="AT12" s="3"/>
      <c r="AU12" s="3"/>
      <c r="AV12" s="3"/>
    </row>
    <row r="13" spans="1:48" ht="14.25" customHeight="1" x14ac:dyDescent="0.25">
      <c r="A13" s="3" t="str">
        <f t="shared" si="0"/>
        <v>DO0301</v>
      </c>
      <c r="B13" s="36"/>
      <c r="C13" s="36"/>
      <c r="D13" s="36" t="s">
        <v>98</v>
      </c>
      <c r="E13" s="36" t="s">
        <v>36</v>
      </c>
      <c r="F13" s="36" t="s">
        <v>32</v>
      </c>
      <c r="G13" s="36"/>
      <c r="H13" s="37" t="s">
        <v>124</v>
      </c>
      <c r="I13" s="3">
        <f t="shared" si="1"/>
        <v>18</v>
      </c>
      <c r="J13" t="s">
        <v>125</v>
      </c>
      <c r="K13" t="s">
        <v>126</v>
      </c>
      <c r="L13" s="66" t="e">
        <f t="shared" ref="L13" si="2">IF(ISBLANK(J13),"",IF(ISBLANK(K13),"0",VLOOKUP(K13,OMAC_Alarms,2,FALSE)))</f>
        <v>#REF!</v>
      </c>
      <c r="M13" s="66" t="e">
        <f t="shared" ref="M13" si="3">IF(ISBLANK(J13),"",VLOOKUP(D13,ClassCodesRange,3,FALSE)&amp;E13&amp;F13)</f>
        <v>#REF!</v>
      </c>
      <c r="N13" s="37"/>
      <c r="O13" s="37"/>
      <c r="P13" s="37"/>
      <c r="Q13" s="38"/>
      <c r="R13" s="34"/>
      <c r="S13" s="34"/>
      <c r="T13" s="3">
        <v>1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4"/>
      <c r="AH13" s="34"/>
      <c r="AI13" s="34"/>
      <c r="AJ13" s="34"/>
      <c r="AK13" s="34"/>
      <c r="AL13" s="34"/>
      <c r="AM13" s="34"/>
      <c r="AN13" s="3"/>
      <c r="AO13" s="3"/>
      <c r="AP13" s="34"/>
      <c r="AQ13" s="3"/>
      <c r="AR13" s="3"/>
      <c r="AS13" s="3"/>
      <c r="AT13" s="3"/>
      <c r="AU13" s="3"/>
      <c r="AV13" s="3"/>
    </row>
    <row r="14" spans="1:48" ht="14.25" customHeight="1" x14ac:dyDescent="0.25">
      <c r="A14" s="3" t="str">
        <f t="shared" si="0"/>
        <v>IL0301</v>
      </c>
      <c r="B14" s="34"/>
      <c r="C14" s="34"/>
      <c r="D14" s="36" t="s">
        <v>127</v>
      </c>
      <c r="E14" s="36" t="s">
        <v>36</v>
      </c>
      <c r="F14" s="36" t="s">
        <v>32</v>
      </c>
      <c r="G14" s="36"/>
      <c r="H14" s="36" t="s">
        <v>128</v>
      </c>
      <c r="I14" s="3">
        <f t="shared" si="1"/>
        <v>22</v>
      </c>
      <c r="J14" s="3" t="s">
        <v>125</v>
      </c>
      <c r="K14" s="3" t="s">
        <v>126</v>
      </c>
      <c r="L14" s="34" t="e">
        <f t="shared" ref="L14:L41" si="4">IF(ISBLANK(J14),"",IF(ISBLANK(K14),"0",VLOOKUP(K14,OMAC_Alarms,2,FALSE)))</f>
        <v>#REF!</v>
      </c>
      <c r="M14" s="34" t="e">
        <f t="shared" ref="M14:M41" si="5">IF(ISBLANK(J14),"",VLOOKUP(D14,ClassCodesRange,3,FALSE)&amp;E14&amp;F14)</f>
        <v>#REF!</v>
      </c>
      <c r="N14" s="37" t="s">
        <v>129</v>
      </c>
      <c r="O14" s="34" t="s">
        <v>130</v>
      </c>
      <c r="P14" s="34">
        <v>81861</v>
      </c>
      <c r="Q14" s="34"/>
      <c r="R14" s="34"/>
      <c r="S14" s="34"/>
      <c r="T14" s="3">
        <v>1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4"/>
      <c r="AH14" s="34"/>
      <c r="AI14" s="34"/>
      <c r="AJ14" s="34"/>
      <c r="AK14" s="34"/>
      <c r="AL14" s="34"/>
      <c r="AM14" s="34"/>
      <c r="AN14" s="3"/>
      <c r="AO14" s="3"/>
      <c r="AP14" s="34"/>
      <c r="AQ14" s="34"/>
      <c r="AR14" s="3"/>
      <c r="AS14" s="3"/>
      <c r="AT14" s="3"/>
      <c r="AU14" s="3"/>
      <c r="AV14" s="3"/>
    </row>
    <row r="15" spans="1:48" ht="14.25" customHeight="1" x14ac:dyDescent="0.25">
      <c r="A15" s="3" t="str">
        <f t="shared" si="0"/>
        <v>IL0302</v>
      </c>
      <c r="B15" s="34"/>
      <c r="C15" s="34"/>
      <c r="D15" s="36" t="s">
        <v>127</v>
      </c>
      <c r="E15" s="36" t="s">
        <v>36</v>
      </c>
      <c r="F15" s="36" t="s">
        <v>34</v>
      </c>
      <c r="G15" s="36"/>
      <c r="H15" s="36" t="s">
        <v>131</v>
      </c>
      <c r="I15" s="3">
        <f t="shared" si="1"/>
        <v>24</v>
      </c>
      <c r="J15" s="3" t="s">
        <v>125</v>
      </c>
      <c r="K15" s="3" t="s">
        <v>126</v>
      </c>
      <c r="L15" s="34" t="e">
        <f t="shared" si="4"/>
        <v>#REF!</v>
      </c>
      <c r="M15" s="34" t="e">
        <f t="shared" si="5"/>
        <v>#REF!</v>
      </c>
      <c r="N15" s="37" t="s">
        <v>129</v>
      </c>
      <c r="O15" s="34"/>
      <c r="P15" s="34"/>
      <c r="Q15" s="34"/>
      <c r="R15" s="34"/>
      <c r="S15" s="34"/>
      <c r="T15" s="3">
        <v>1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4"/>
      <c r="AH15" s="34"/>
      <c r="AI15" s="34"/>
      <c r="AJ15" s="34"/>
      <c r="AK15" s="34"/>
      <c r="AL15" s="34"/>
      <c r="AM15" s="34"/>
      <c r="AN15" s="3"/>
      <c r="AO15" s="3"/>
      <c r="AP15" s="34"/>
      <c r="AQ15" s="34"/>
      <c r="AR15" s="3"/>
      <c r="AS15" s="3"/>
      <c r="AT15" s="3"/>
      <c r="AU15" s="3"/>
      <c r="AV15" s="3"/>
    </row>
    <row r="16" spans="1:48" ht="14.25" customHeight="1" x14ac:dyDescent="0.25">
      <c r="A16" s="3" t="str">
        <f t="shared" si="0"/>
        <v>IL0303</v>
      </c>
      <c r="B16" s="34"/>
      <c r="C16" s="34"/>
      <c r="D16" s="36" t="s">
        <v>127</v>
      </c>
      <c r="E16" s="36" t="s">
        <v>36</v>
      </c>
      <c r="F16" s="36" t="s">
        <v>36</v>
      </c>
      <c r="G16" s="36"/>
      <c r="H16" s="36" t="s">
        <v>132</v>
      </c>
      <c r="I16" s="3">
        <f t="shared" si="1"/>
        <v>22</v>
      </c>
      <c r="J16" s="3" t="s">
        <v>125</v>
      </c>
      <c r="K16" s="3" t="s">
        <v>126</v>
      </c>
      <c r="L16" s="34" t="e">
        <f t="shared" si="4"/>
        <v>#REF!</v>
      </c>
      <c r="M16" s="34" t="e">
        <f t="shared" si="5"/>
        <v>#REF!</v>
      </c>
      <c r="N16" s="37" t="s">
        <v>129</v>
      </c>
      <c r="O16" s="34"/>
      <c r="P16" s="34"/>
      <c r="Q16" s="34"/>
      <c r="R16" s="34"/>
      <c r="S16" s="34"/>
      <c r="T16" s="3">
        <v>1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4"/>
      <c r="AH16" s="34"/>
      <c r="AI16" s="34"/>
      <c r="AJ16" s="34"/>
      <c r="AK16" s="34"/>
      <c r="AL16" s="34"/>
      <c r="AM16" s="34"/>
      <c r="AN16" s="3"/>
      <c r="AO16" s="3"/>
      <c r="AP16" s="34"/>
      <c r="AQ16" s="34"/>
      <c r="AR16" s="3"/>
      <c r="AS16" s="3"/>
      <c r="AT16" s="3"/>
      <c r="AU16" s="3"/>
      <c r="AV16" s="3"/>
    </row>
    <row r="17" spans="1:48" ht="14.25" customHeight="1" x14ac:dyDescent="0.25">
      <c r="A17" s="3" t="str">
        <f t="shared" si="0"/>
        <v>IL0304</v>
      </c>
      <c r="B17" s="34"/>
      <c r="C17" s="34"/>
      <c r="D17" s="36" t="s">
        <v>127</v>
      </c>
      <c r="E17" s="36" t="s">
        <v>36</v>
      </c>
      <c r="F17" s="36" t="s">
        <v>38</v>
      </c>
      <c r="G17" s="36"/>
      <c r="H17" s="36" t="s">
        <v>133</v>
      </c>
      <c r="I17" s="3">
        <f t="shared" si="1"/>
        <v>6</v>
      </c>
      <c r="J17" s="3" t="s">
        <v>125</v>
      </c>
      <c r="K17" s="3" t="s">
        <v>126</v>
      </c>
      <c r="L17" s="34" t="e">
        <f t="shared" si="4"/>
        <v>#REF!</v>
      </c>
      <c r="M17" s="34" t="e">
        <f t="shared" si="5"/>
        <v>#REF!</v>
      </c>
      <c r="N17" s="37" t="s">
        <v>129</v>
      </c>
      <c r="O17" s="34"/>
      <c r="P17" s="34"/>
      <c r="Q17" s="34"/>
      <c r="R17" s="34"/>
      <c r="S17" s="34"/>
      <c r="T17" s="3">
        <v>1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4"/>
      <c r="AH17" s="34"/>
      <c r="AI17" s="34"/>
      <c r="AJ17" s="34"/>
      <c r="AK17" s="34"/>
      <c r="AL17" s="34"/>
      <c r="AM17" s="34"/>
      <c r="AN17" s="3"/>
      <c r="AO17" s="3"/>
      <c r="AP17" s="34"/>
      <c r="AQ17" s="34"/>
      <c r="AR17" s="3"/>
      <c r="AS17" s="3"/>
      <c r="AT17" s="3"/>
      <c r="AU17" s="3"/>
      <c r="AV17" s="3"/>
    </row>
    <row r="18" spans="1:48" ht="14.25" customHeight="1" x14ac:dyDescent="0.25">
      <c r="A18" s="1" t="s">
        <v>134</v>
      </c>
      <c r="B18" s="36"/>
      <c r="C18" s="36"/>
      <c r="D18" s="36"/>
      <c r="E18" s="36"/>
      <c r="F18" s="36"/>
      <c r="G18" s="36"/>
      <c r="H18" s="36"/>
      <c r="I18" s="3"/>
      <c r="J18" s="3"/>
      <c r="K18" s="3"/>
      <c r="L18" s="34" t="str">
        <f t="shared" si="4"/>
        <v/>
      </c>
      <c r="M18" s="34" t="str">
        <f t="shared" si="5"/>
        <v/>
      </c>
      <c r="N18" s="37" t="s">
        <v>135</v>
      </c>
      <c r="O18" s="37"/>
      <c r="P18" s="37"/>
      <c r="Q18" s="38"/>
      <c r="R18" s="34"/>
      <c r="S18" s="34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4"/>
      <c r="AH18" s="34"/>
      <c r="AI18" s="34"/>
      <c r="AJ18" s="34"/>
      <c r="AK18" s="34"/>
      <c r="AL18" s="34"/>
      <c r="AM18" s="34"/>
      <c r="AN18" s="3"/>
      <c r="AO18" s="3"/>
      <c r="AP18" s="34"/>
      <c r="AQ18" s="3"/>
      <c r="AR18" s="3"/>
      <c r="AS18" s="3"/>
      <c r="AT18" s="3"/>
      <c r="AU18" s="3"/>
      <c r="AV18" s="3"/>
    </row>
    <row r="19" spans="1:48" ht="14.25" customHeight="1" x14ac:dyDescent="0.25">
      <c r="A19" s="3" t="str">
        <f t="shared" ref="A19:A23" si="6">IF(D19="MCP",E19&amp;F19&amp;G19,B19&amp;C19&amp;D19&amp;E19&amp;F19&amp;G19)</f>
        <v>DO0320</v>
      </c>
      <c r="B19" s="34"/>
      <c r="C19" s="34"/>
      <c r="D19" s="36" t="s">
        <v>98</v>
      </c>
      <c r="E19" s="35" t="s">
        <v>36</v>
      </c>
      <c r="F19" s="35" t="s">
        <v>61</v>
      </c>
      <c r="G19" s="36"/>
      <c r="H19" s="34" t="s">
        <v>136</v>
      </c>
      <c r="I19" s="3">
        <f t="shared" ref="I19:I23" si="7">IF(ISTEXT(H19),LEN(H19),"")</f>
        <v>12</v>
      </c>
      <c r="J19" s="3" t="s">
        <v>125</v>
      </c>
      <c r="K19" s="3" t="s">
        <v>126</v>
      </c>
      <c r="L19" s="34" t="e">
        <f t="shared" si="4"/>
        <v>#REF!</v>
      </c>
      <c r="M19" s="34" t="e">
        <f t="shared" si="5"/>
        <v>#REF!</v>
      </c>
      <c r="N19" s="37"/>
      <c r="O19" s="37"/>
      <c r="P19" s="37"/>
      <c r="Q19" s="38"/>
      <c r="R19" s="34"/>
      <c r="S19" s="34"/>
      <c r="T19" s="3">
        <v>1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7"/>
      <c r="AH19" s="34"/>
      <c r="AI19" s="34"/>
      <c r="AJ19" s="34"/>
      <c r="AK19" s="34"/>
      <c r="AL19" s="34"/>
      <c r="AM19" s="34"/>
      <c r="AN19" s="3"/>
      <c r="AO19" s="3"/>
      <c r="AP19" s="34"/>
      <c r="AQ19" s="3"/>
      <c r="AR19" s="3"/>
      <c r="AS19" s="3"/>
      <c r="AT19" s="3"/>
      <c r="AU19" s="3"/>
      <c r="AV19" s="3"/>
    </row>
    <row r="20" spans="1:48" ht="14.25" customHeight="1" x14ac:dyDescent="0.25">
      <c r="A20" s="3" t="str">
        <f t="shared" si="6"/>
        <v>K0320</v>
      </c>
      <c r="B20" s="36"/>
      <c r="C20" s="36"/>
      <c r="D20" s="36" t="s">
        <v>137</v>
      </c>
      <c r="E20" s="36" t="s">
        <v>36</v>
      </c>
      <c r="F20" s="36" t="s">
        <v>61</v>
      </c>
      <c r="G20" s="36"/>
      <c r="H20" s="34" t="s">
        <v>138</v>
      </c>
      <c r="I20" s="3">
        <f t="shared" si="7"/>
        <v>25</v>
      </c>
      <c r="J20" s="3" t="s">
        <v>139</v>
      </c>
      <c r="K20" s="3" t="s">
        <v>126</v>
      </c>
      <c r="L20" s="34" t="e">
        <f>IF(ISBLANK(J20),"",IF(ISBLANK(K20),"0",VLOOKUP(K20,OMAC_Alarms,2,FALSE)))</f>
        <v>#REF!</v>
      </c>
      <c r="M20" s="34" t="e">
        <f t="shared" si="5"/>
        <v>#REF!</v>
      </c>
      <c r="N20" s="37" t="s">
        <v>140</v>
      </c>
      <c r="O20" s="39" t="s">
        <v>141</v>
      </c>
      <c r="P20" s="37" t="s">
        <v>142</v>
      </c>
      <c r="Q20" s="38"/>
      <c r="R20" s="34"/>
      <c r="S20" s="34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>
        <v>1</v>
      </c>
      <c r="AE20" s="3">
        <v>1</v>
      </c>
      <c r="AF20" s="3"/>
      <c r="AG20" s="34"/>
      <c r="AH20" s="34"/>
      <c r="AI20" s="34"/>
      <c r="AJ20" s="34"/>
      <c r="AK20" s="34"/>
      <c r="AL20" s="34"/>
      <c r="AM20" s="34"/>
      <c r="AN20" s="3"/>
      <c r="AO20" s="3"/>
      <c r="AP20" s="34"/>
      <c r="AQ20" s="3"/>
      <c r="AR20" s="3"/>
      <c r="AS20" s="3"/>
      <c r="AT20" s="3"/>
      <c r="AU20" s="3"/>
      <c r="AV20" s="3"/>
    </row>
    <row r="21" spans="1:48" ht="14.25" customHeight="1" x14ac:dyDescent="0.25">
      <c r="A21" s="3" t="str">
        <f t="shared" si="6"/>
        <v>K0321</v>
      </c>
      <c r="B21" s="1"/>
      <c r="C21" s="1"/>
      <c r="D21" s="36" t="s">
        <v>137</v>
      </c>
      <c r="E21" s="35" t="s">
        <v>36</v>
      </c>
      <c r="F21" s="35" t="s">
        <v>62</v>
      </c>
      <c r="G21" s="36"/>
      <c r="H21" s="34" t="s">
        <v>143</v>
      </c>
      <c r="I21" s="3">
        <f t="shared" si="7"/>
        <v>25</v>
      </c>
      <c r="J21" s="3" t="s">
        <v>139</v>
      </c>
      <c r="K21" s="3" t="s">
        <v>126</v>
      </c>
      <c r="L21" s="34" t="e">
        <f t="shared" si="4"/>
        <v>#REF!</v>
      </c>
      <c r="M21" s="34" t="e">
        <f t="shared" si="5"/>
        <v>#REF!</v>
      </c>
      <c r="N21" s="37" t="s">
        <v>140</v>
      </c>
      <c r="O21" s="39" t="s">
        <v>141</v>
      </c>
      <c r="P21" s="37" t="s">
        <v>142</v>
      </c>
      <c r="Q21" s="38"/>
      <c r="R21" s="34"/>
      <c r="S21" s="34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>
        <v>1</v>
      </c>
      <c r="AE21" s="3">
        <v>1</v>
      </c>
      <c r="AF21" s="3"/>
      <c r="AG21" s="34"/>
      <c r="AH21" s="34"/>
      <c r="AI21" s="34"/>
      <c r="AJ21" s="34"/>
      <c r="AK21" s="34"/>
      <c r="AL21" s="34"/>
      <c r="AM21" s="34"/>
      <c r="AN21" s="3"/>
      <c r="AO21" s="3"/>
      <c r="AP21" s="34"/>
      <c r="AQ21" s="3"/>
      <c r="AR21" s="3"/>
      <c r="AS21" s="3"/>
      <c r="AT21" s="3"/>
      <c r="AU21" s="3"/>
      <c r="AV21" s="3"/>
    </row>
    <row r="22" spans="1:48" ht="14.25" customHeight="1" x14ac:dyDescent="0.25">
      <c r="A22" s="3" t="str">
        <f t="shared" si="6"/>
        <v>K0322</v>
      </c>
      <c r="B22" s="1"/>
      <c r="C22" s="1"/>
      <c r="D22" s="36" t="s">
        <v>137</v>
      </c>
      <c r="E22" s="35" t="s">
        <v>36</v>
      </c>
      <c r="F22" s="35" t="s">
        <v>63</v>
      </c>
      <c r="G22" s="36"/>
      <c r="H22" s="34" t="s">
        <v>144</v>
      </c>
      <c r="I22" s="3">
        <f t="shared" si="7"/>
        <v>12</v>
      </c>
      <c r="J22" s="3" t="s">
        <v>139</v>
      </c>
      <c r="K22" s="3" t="s">
        <v>126</v>
      </c>
      <c r="L22" s="34" t="e">
        <f t="shared" ref="L22:L23" si="8">IF(ISBLANK(J22),"",IF(ISBLANK(K22),"0",VLOOKUP(K22,OMAC_Alarms,2,FALSE)))</f>
        <v>#REF!</v>
      </c>
      <c r="M22" s="34" t="e">
        <f t="shared" ref="M22:M23" si="9">IF(ISBLANK(J22),"",VLOOKUP(D22,ClassCodesRange,3,FALSE)&amp;E22&amp;F22)</f>
        <v>#REF!</v>
      </c>
      <c r="N22" s="37"/>
      <c r="O22" s="39"/>
      <c r="P22" s="37"/>
      <c r="Q22" s="38"/>
      <c r="R22" s="34"/>
      <c r="S22" s="34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4"/>
      <c r="AH22" s="34"/>
      <c r="AI22" s="34"/>
      <c r="AJ22" s="34"/>
      <c r="AK22" s="34"/>
      <c r="AL22" s="34"/>
      <c r="AM22" s="34"/>
      <c r="AN22" s="3"/>
      <c r="AO22" s="3"/>
      <c r="AP22" s="34"/>
      <c r="AQ22" s="3"/>
      <c r="AR22" s="3"/>
      <c r="AS22" s="3"/>
      <c r="AT22" s="3"/>
      <c r="AU22" s="3"/>
      <c r="AV22" s="3"/>
    </row>
    <row r="23" spans="1:48" ht="14.25" customHeight="1" x14ac:dyDescent="0.25">
      <c r="A23" s="3" t="str">
        <f t="shared" si="6"/>
        <v>K0323</v>
      </c>
      <c r="B23" s="1"/>
      <c r="C23" s="1"/>
      <c r="D23" s="36" t="s">
        <v>137</v>
      </c>
      <c r="E23" s="35" t="s">
        <v>36</v>
      </c>
      <c r="F23" s="35" t="s">
        <v>145</v>
      </c>
      <c r="G23" s="36"/>
      <c r="H23" s="34" t="s">
        <v>146</v>
      </c>
      <c r="I23" s="3">
        <f t="shared" si="7"/>
        <v>12</v>
      </c>
      <c r="J23" s="3" t="s">
        <v>139</v>
      </c>
      <c r="K23" s="3" t="s">
        <v>126</v>
      </c>
      <c r="L23" s="34" t="e">
        <f t="shared" si="8"/>
        <v>#REF!</v>
      </c>
      <c r="M23" s="34" t="e">
        <f t="shared" si="9"/>
        <v>#REF!</v>
      </c>
      <c r="N23" s="37"/>
      <c r="O23" s="39"/>
      <c r="P23" s="37"/>
      <c r="Q23" s="38"/>
      <c r="R23" s="34"/>
      <c r="S23" s="34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4"/>
      <c r="AH23" s="34"/>
      <c r="AI23" s="34"/>
      <c r="AJ23" s="34"/>
      <c r="AK23" s="34"/>
      <c r="AL23" s="34"/>
      <c r="AM23" s="34"/>
      <c r="AN23" s="3"/>
      <c r="AO23" s="3"/>
      <c r="AP23" s="34"/>
      <c r="AQ23" s="3"/>
      <c r="AR23" s="3"/>
      <c r="AS23" s="3"/>
      <c r="AT23" s="3"/>
      <c r="AU23" s="3"/>
      <c r="AV23" s="3"/>
    </row>
    <row r="24" spans="1:48" ht="14.25" customHeight="1" x14ac:dyDescent="0.25">
      <c r="A24" s="1" t="s">
        <v>147</v>
      </c>
      <c r="B24" s="1"/>
      <c r="C24" s="1"/>
      <c r="D24" s="36"/>
      <c r="E24" s="35"/>
      <c r="F24" s="36"/>
      <c r="G24" s="36"/>
      <c r="H24" s="37"/>
      <c r="I24" s="3"/>
      <c r="J24" s="3"/>
      <c r="K24" s="3"/>
      <c r="L24" s="34" t="str">
        <f t="shared" si="4"/>
        <v/>
      </c>
      <c r="M24" s="34" t="str">
        <f t="shared" si="5"/>
        <v/>
      </c>
      <c r="N24" s="37"/>
      <c r="O24" s="37"/>
      <c r="P24" s="37"/>
      <c r="Q24" s="38"/>
      <c r="R24" s="34"/>
      <c r="S24" s="34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4"/>
      <c r="AH24" s="34"/>
      <c r="AI24" s="34"/>
      <c r="AJ24" s="34"/>
      <c r="AK24" s="34"/>
      <c r="AL24" s="34"/>
      <c r="AM24" s="34"/>
      <c r="AN24" s="3"/>
      <c r="AO24" s="3"/>
      <c r="AP24" s="34"/>
      <c r="AQ24" s="3"/>
      <c r="AR24" s="3"/>
      <c r="AS24" s="3"/>
      <c r="AT24" s="3"/>
      <c r="AU24" s="3"/>
      <c r="AV24" s="3"/>
    </row>
    <row r="25" spans="1:48" ht="14.25" customHeight="1" x14ac:dyDescent="0.25">
      <c r="A25" s="3" t="str">
        <f t="shared" ref="A25:A26" si="10">IF(D25="MCP",E25&amp;F25&amp;G25,B25&amp;C25&amp;D25&amp;E25&amp;F25&amp;G25)</f>
        <v>DI0350</v>
      </c>
      <c r="B25" s="34"/>
      <c r="C25" s="34"/>
      <c r="D25" s="36" t="s">
        <v>99</v>
      </c>
      <c r="E25" s="35" t="s">
        <v>36</v>
      </c>
      <c r="F25" s="35" t="s">
        <v>73</v>
      </c>
      <c r="G25" s="36"/>
      <c r="H25" s="37" t="s">
        <v>583</v>
      </c>
      <c r="I25" s="3">
        <f t="shared" ref="I25:I26" si="11">IF(ISTEXT(H25),LEN(H25),"")</f>
        <v>42</v>
      </c>
      <c r="J25" t="s">
        <v>139</v>
      </c>
      <c r="K25" t="s">
        <v>168</v>
      </c>
      <c r="L25" s="66" t="e">
        <f t="shared" ref="L25" si="12">IF(ISBLANK(J25),"",IF(ISBLANK(K25),"0",VLOOKUP(K25,OMAC_Alarms,2,FALSE)))</f>
        <v>#REF!</v>
      </c>
      <c r="M25" s="66" t="e">
        <f t="shared" ref="M25" si="13">IF(ISBLANK(J25),"",VLOOKUP(D25,ClassCodesRange,3,FALSE)&amp;E25&amp;F25)</f>
        <v>#REF!</v>
      </c>
      <c r="N25" s="37" t="s">
        <v>140</v>
      </c>
      <c r="O25" s="37" t="s">
        <v>148</v>
      </c>
      <c r="P25" s="37" t="s">
        <v>149</v>
      </c>
      <c r="Q25" s="38"/>
      <c r="R25" s="34"/>
      <c r="S25" s="34"/>
      <c r="T25" s="3"/>
      <c r="U25" s="3">
        <v>1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4"/>
      <c r="AH25" s="34"/>
      <c r="AI25" s="34"/>
      <c r="AJ25" s="34"/>
      <c r="AK25" s="34"/>
      <c r="AL25" s="34"/>
      <c r="AM25" s="34"/>
      <c r="AN25" s="3"/>
      <c r="AO25" s="3"/>
      <c r="AP25" s="34"/>
      <c r="AQ25" s="3"/>
      <c r="AR25" s="3"/>
      <c r="AS25" s="3"/>
      <c r="AT25" s="3"/>
      <c r="AU25" s="3"/>
      <c r="AV25" s="3"/>
    </row>
    <row r="26" spans="1:48" ht="14.25" customHeight="1" x14ac:dyDescent="0.25">
      <c r="A26" s="3" t="str">
        <f t="shared" si="10"/>
        <v>DI0351</v>
      </c>
      <c r="B26" s="34"/>
      <c r="C26" s="34"/>
      <c r="D26" s="36" t="s">
        <v>99</v>
      </c>
      <c r="E26" s="35" t="s">
        <v>36</v>
      </c>
      <c r="F26" s="35" t="s">
        <v>321</v>
      </c>
      <c r="G26" s="36"/>
      <c r="H26" s="37" t="s">
        <v>584</v>
      </c>
      <c r="I26" s="3">
        <f t="shared" si="11"/>
        <v>30</v>
      </c>
      <c r="J26" s="3" t="s">
        <v>125</v>
      </c>
      <c r="K26" s="3" t="s">
        <v>126</v>
      </c>
      <c r="L26" s="34" t="e">
        <f t="shared" si="4"/>
        <v>#REF!</v>
      </c>
      <c r="M26" s="34" t="e">
        <f t="shared" si="5"/>
        <v>#REF!</v>
      </c>
      <c r="N26" s="37" t="s">
        <v>140</v>
      </c>
      <c r="O26" s="37" t="s">
        <v>148</v>
      </c>
      <c r="P26" s="37" t="s">
        <v>149</v>
      </c>
      <c r="Q26" s="38"/>
      <c r="R26" s="34"/>
      <c r="S26" s="34"/>
      <c r="T26" s="3"/>
      <c r="U26" s="3">
        <v>1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4"/>
      <c r="AH26" s="34"/>
      <c r="AI26" s="34"/>
      <c r="AJ26" s="34"/>
      <c r="AK26" s="34"/>
      <c r="AL26" s="34"/>
      <c r="AM26" s="34"/>
      <c r="AN26" s="3"/>
      <c r="AO26" s="3"/>
      <c r="AP26" s="34"/>
      <c r="AQ26" s="3"/>
      <c r="AR26" s="3"/>
      <c r="AS26" s="3"/>
      <c r="AT26" s="3"/>
      <c r="AU26" s="3"/>
      <c r="AV26" s="3"/>
    </row>
    <row r="27" spans="1:48" ht="14.25" customHeight="1" x14ac:dyDescent="0.25">
      <c r="A27" s="1" t="s">
        <v>39</v>
      </c>
      <c r="B27" s="1"/>
      <c r="C27" s="1"/>
      <c r="D27" s="36"/>
      <c r="E27" s="35"/>
      <c r="F27" s="35"/>
      <c r="G27" s="36"/>
      <c r="H27" s="37"/>
      <c r="I27" s="3"/>
      <c r="J27" s="3"/>
      <c r="K27" s="3"/>
      <c r="L27" s="34" t="str">
        <f t="shared" si="4"/>
        <v/>
      </c>
      <c r="M27" s="34" t="str">
        <f t="shared" si="5"/>
        <v/>
      </c>
      <c r="N27" s="37"/>
      <c r="O27" s="37"/>
      <c r="P27" s="37"/>
      <c r="Q27" s="38"/>
      <c r="R27" s="34"/>
      <c r="S27" s="34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4"/>
      <c r="AH27" s="34"/>
      <c r="AI27" s="34"/>
      <c r="AJ27" s="34"/>
      <c r="AK27" s="34"/>
      <c r="AL27" s="34"/>
      <c r="AM27" s="34"/>
      <c r="AN27" s="3"/>
      <c r="AO27" s="3"/>
      <c r="AP27" s="34"/>
      <c r="AQ27" s="3"/>
      <c r="AR27" s="3"/>
      <c r="AS27" s="3"/>
      <c r="AT27" s="3"/>
      <c r="AU27" s="3"/>
      <c r="AV27" s="3"/>
    </row>
    <row r="28" spans="1:48" ht="14.25" customHeight="1" x14ac:dyDescent="0.25">
      <c r="A28" s="3" t="str">
        <f t="shared" ref="A28:A29" si="14">IF(D28="MCP",E28&amp;F28&amp;G28,B28&amp;C28&amp;D28&amp;E28&amp;F28&amp;G28)</f>
        <v>SV0401</v>
      </c>
      <c r="B28" s="1"/>
      <c r="C28" s="1"/>
      <c r="D28" s="36" t="s">
        <v>150</v>
      </c>
      <c r="E28" s="35" t="s">
        <v>38</v>
      </c>
      <c r="F28" s="35" t="s">
        <v>32</v>
      </c>
      <c r="G28" s="36"/>
      <c r="H28" s="3" t="s">
        <v>151</v>
      </c>
      <c r="I28" s="3">
        <f t="shared" ref="I28:I29" si="15">IF(ISTEXT(H28),LEN(H28),"")</f>
        <v>29</v>
      </c>
      <c r="J28" s="2" t="s">
        <v>125</v>
      </c>
      <c r="K28" s="3" t="s">
        <v>126</v>
      </c>
      <c r="L28" s="34" t="e">
        <f t="shared" si="4"/>
        <v>#REF!</v>
      </c>
      <c r="M28" s="34" t="e">
        <f t="shared" si="5"/>
        <v>#REF!</v>
      </c>
      <c r="N28" s="37" t="s">
        <v>152</v>
      </c>
      <c r="O28" s="37"/>
      <c r="P28" s="37"/>
      <c r="Q28" s="38"/>
      <c r="R28" s="34"/>
      <c r="S28" s="34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>
        <v>2</v>
      </c>
      <c r="AE28" s="3">
        <v>2</v>
      </c>
      <c r="AF28" s="3"/>
      <c r="AG28" s="34"/>
      <c r="AH28" s="34"/>
      <c r="AI28" s="34" t="s">
        <v>24</v>
      </c>
      <c r="AJ28" s="34"/>
      <c r="AK28" s="34"/>
      <c r="AL28" s="34"/>
      <c r="AM28" s="34"/>
      <c r="AN28" s="3"/>
      <c r="AO28" s="3"/>
      <c r="AP28" s="34"/>
      <c r="AQ28" s="3"/>
      <c r="AR28" s="3"/>
      <c r="AS28" s="3"/>
      <c r="AT28" s="3"/>
      <c r="AU28" s="3"/>
      <c r="AV28" s="3"/>
    </row>
    <row r="29" spans="1:48" ht="14.25" customHeight="1" x14ac:dyDescent="0.25">
      <c r="A29" s="3" t="str">
        <f t="shared" si="14"/>
        <v>PS0401</v>
      </c>
      <c r="B29" s="1"/>
      <c r="C29" s="1"/>
      <c r="D29" s="36" t="s">
        <v>153</v>
      </c>
      <c r="E29" s="35" t="s">
        <v>38</v>
      </c>
      <c r="F29" s="35" t="s">
        <v>32</v>
      </c>
      <c r="G29" s="36"/>
      <c r="H29" s="2" t="s">
        <v>154</v>
      </c>
      <c r="I29" s="3">
        <f t="shared" si="15"/>
        <v>14</v>
      </c>
      <c r="J29" t="s">
        <v>139</v>
      </c>
      <c r="K29" t="s">
        <v>168</v>
      </c>
      <c r="L29" s="66" t="e">
        <f t="shared" ref="L29" si="16">IF(ISBLANK(J29),"",IF(ISBLANK(K29),"0",VLOOKUP(K29,OMAC_Alarms,2,FALSE)))</f>
        <v>#REF!</v>
      </c>
      <c r="M29" s="66" t="e">
        <f t="shared" ref="M29" si="17">IF(ISBLANK(J29),"",VLOOKUP(D29,ClassCodesRange,3,FALSE)&amp;E29&amp;F29)</f>
        <v>#REF!</v>
      </c>
      <c r="N29" s="37"/>
      <c r="O29" s="37"/>
      <c r="P29" s="37"/>
      <c r="Q29" s="38"/>
      <c r="R29" s="34"/>
      <c r="S29" s="34"/>
      <c r="T29" s="3"/>
      <c r="U29" s="3">
        <v>1</v>
      </c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4"/>
      <c r="AH29" s="34"/>
      <c r="AI29" s="34"/>
      <c r="AJ29" s="34"/>
      <c r="AK29" s="34"/>
      <c r="AL29" s="34"/>
      <c r="AM29" s="34"/>
      <c r="AN29" s="3"/>
      <c r="AO29" s="3"/>
      <c r="AP29" s="34"/>
      <c r="AQ29" s="3"/>
      <c r="AR29" s="3"/>
      <c r="AS29" s="3"/>
      <c r="AT29" s="3"/>
      <c r="AU29" s="3"/>
      <c r="AV29" s="3"/>
    </row>
    <row r="30" spans="1:48" ht="14.25" customHeight="1" x14ac:dyDescent="0.25">
      <c r="A30" s="1" t="s">
        <v>50</v>
      </c>
      <c r="B30" s="1"/>
      <c r="C30" s="1"/>
      <c r="D30" s="36"/>
      <c r="E30" s="35"/>
      <c r="F30" s="35"/>
      <c r="G30" s="36"/>
      <c r="H30" s="34"/>
      <c r="I30" s="3" t="s">
        <v>109</v>
      </c>
      <c r="J30" s="3"/>
      <c r="K30" s="3"/>
      <c r="L30" s="34" t="str">
        <f t="shared" si="4"/>
        <v/>
      </c>
      <c r="M30" s="34" t="str">
        <f t="shared" si="5"/>
        <v/>
      </c>
      <c r="N30" s="37"/>
      <c r="O30" s="37"/>
      <c r="P30" s="37"/>
      <c r="Q30" s="38"/>
      <c r="R30" s="34"/>
      <c r="S30" s="34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4"/>
      <c r="AH30" s="34"/>
      <c r="AI30" s="34"/>
      <c r="AJ30" s="34"/>
      <c r="AK30" s="34"/>
      <c r="AL30" s="34"/>
      <c r="AM30" s="34"/>
      <c r="AN30" s="3"/>
      <c r="AO30" s="3"/>
      <c r="AP30" s="34"/>
      <c r="AQ30" s="3"/>
      <c r="AR30" s="3"/>
      <c r="AS30" s="3"/>
      <c r="AT30" s="3"/>
      <c r="AU30" s="3"/>
      <c r="AV30" s="3"/>
    </row>
    <row r="31" spans="1:48" ht="14.25" customHeight="1" x14ac:dyDescent="0.25">
      <c r="A31" s="3" t="str">
        <f t="shared" ref="A31:A35" si="18">IF(D31="MCP",E31&amp;F31&amp;G31,B31&amp;C31&amp;D31&amp;E31&amp;F31&amp;G31)</f>
        <v>CP1001</v>
      </c>
      <c r="B31" s="34"/>
      <c r="C31" s="34"/>
      <c r="D31" s="36" t="s">
        <v>110</v>
      </c>
      <c r="E31" s="35" t="s">
        <v>155</v>
      </c>
      <c r="F31" s="35" t="s">
        <v>32</v>
      </c>
      <c r="G31" s="36"/>
      <c r="H31" s="3" t="s">
        <v>156</v>
      </c>
      <c r="I31" s="3">
        <f t="shared" ref="I31:I35" si="19">IF(ISTEXT(H31),LEN(H31),"")</f>
        <v>24</v>
      </c>
      <c r="J31" s="3"/>
      <c r="K31" s="3"/>
      <c r="L31" s="34" t="str">
        <f t="shared" si="4"/>
        <v/>
      </c>
      <c r="M31" s="34" t="str">
        <f t="shared" si="5"/>
        <v/>
      </c>
      <c r="N31" s="37" t="s">
        <v>112</v>
      </c>
      <c r="O31" s="37"/>
      <c r="P31" s="37"/>
      <c r="Q31" s="38"/>
      <c r="R31" s="34"/>
      <c r="S31" s="34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4"/>
      <c r="AH31" s="34"/>
      <c r="AI31" s="34"/>
      <c r="AJ31" s="34"/>
      <c r="AK31" s="34"/>
      <c r="AL31" s="34"/>
      <c r="AM31" s="34"/>
      <c r="AN31" s="3"/>
      <c r="AO31" s="3"/>
      <c r="AP31" s="34"/>
      <c r="AQ31" s="3"/>
      <c r="AR31" s="3"/>
      <c r="AS31" s="3"/>
      <c r="AT31" s="3"/>
      <c r="AU31" s="3"/>
      <c r="AV31" s="3"/>
    </row>
    <row r="32" spans="1:48" ht="14.25" customHeight="1" x14ac:dyDescent="0.25">
      <c r="A32" s="3" t="str">
        <f t="shared" si="18"/>
        <v>ES1001</v>
      </c>
      <c r="B32" s="34"/>
      <c r="C32" s="34"/>
      <c r="D32" s="36" t="s">
        <v>157</v>
      </c>
      <c r="E32" s="35" t="s">
        <v>155</v>
      </c>
      <c r="F32" s="35" t="s">
        <v>32</v>
      </c>
      <c r="G32" s="36"/>
      <c r="H32" s="3" t="s">
        <v>158</v>
      </c>
      <c r="I32" s="3">
        <f t="shared" si="19"/>
        <v>29</v>
      </c>
      <c r="J32" s="3" t="s">
        <v>139</v>
      </c>
      <c r="K32" s="3" t="s">
        <v>159</v>
      </c>
      <c r="L32" s="34" t="e">
        <f t="shared" si="4"/>
        <v>#REF!</v>
      </c>
      <c r="M32" s="34" t="e">
        <f t="shared" si="5"/>
        <v>#REF!</v>
      </c>
      <c r="N32" s="37" t="s">
        <v>160</v>
      </c>
      <c r="O32" s="37" t="s">
        <v>161</v>
      </c>
      <c r="P32" s="37"/>
      <c r="Q32" s="38"/>
      <c r="R32" s="34"/>
      <c r="S32" s="34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2</v>
      </c>
      <c r="AF32" s="3"/>
      <c r="AG32" s="34"/>
      <c r="AH32" s="34"/>
      <c r="AI32" s="34"/>
      <c r="AJ32" s="34"/>
      <c r="AK32" s="34"/>
      <c r="AL32" s="34"/>
      <c r="AM32" s="34"/>
      <c r="AN32" s="3"/>
      <c r="AO32" s="3"/>
      <c r="AP32" s="34"/>
      <c r="AQ32" s="3"/>
      <c r="AR32" s="3"/>
      <c r="AS32" s="3"/>
      <c r="AT32" s="3"/>
      <c r="AU32" s="3"/>
      <c r="AV32" s="3"/>
    </row>
    <row r="33" spans="1:48" ht="14.25" customHeight="1" x14ac:dyDescent="0.25">
      <c r="A33" s="3" t="str">
        <f t="shared" si="18"/>
        <v>ES1002</v>
      </c>
      <c r="B33" s="34"/>
      <c r="C33" s="34"/>
      <c r="D33" s="36" t="s">
        <v>157</v>
      </c>
      <c r="E33" s="35" t="s">
        <v>155</v>
      </c>
      <c r="F33" s="35" t="s">
        <v>34</v>
      </c>
      <c r="G33" s="36"/>
      <c r="H33" s="3" t="s">
        <v>162</v>
      </c>
      <c r="I33" s="3">
        <f t="shared" si="19"/>
        <v>20</v>
      </c>
      <c r="J33" s="3" t="s">
        <v>139</v>
      </c>
      <c r="K33" s="3" t="s">
        <v>159</v>
      </c>
      <c r="L33" s="34" t="e">
        <f t="shared" si="4"/>
        <v>#REF!</v>
      </c>
      <c r="M33" s="34" t="e">
        <f t="shared" si="5"/>
        <v>#REF!</v>
      </c>
      <c r="N33" s="37" t="s">
        <v>160</v>
      </c>
      <c r="O33" s="37" t="s">
        <v>163</v>
      </c>
      <c r="P33" s="37"/>
      <c r="Q33" s="38"/>
      <c r="R33" s="34"/>
      <c r="S33" s="34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2</v>
      </c>
      <c r="AF33" s="3"/>
      <c r="AG33" s="34"/>
      <c r="AH33" s="34"/>
      <c r="AI33" s="34"/>
      <c r="AJ33" s="34"/>
      <c r="AK33" s="34"/>
      <c r="AL33" s="34"/>
      <c r="AM33" s="34"/>
      <c r="AN33" s="3"/>
      <c r="AO33" s="3"/>
      <c r="AP33" s="34"/>
      <c r="AQ33" s="3"/>
      <c r="AR33" s="3"/>
      <c r="AS33" s="3"/>
      <c r="AT33" s="3"/>
      <c r="AU33" s="3"/>
      <c r="AV33" s="3"/>
    </row>
    <row r="34" spans="1:48" ht="14.25" customHeight="1" x14ac:dyDescent="0.25">
      <c r="A34" s="3" t="str">
        <f t="shared" si="18"/>
        <v>ES1201</v>
      </c>
      <c r="B34" s="34"/>
      <c r="C34" s="34"/>
      <c r="D34" s="36" t="s">
        <v>157</v>
      </c>
      <c r="E34" s="35" t="s">
        <v>51</v>
      </c>
      <c r="F34" s="35" t="s">
        <v>32</v>
      </c>
      <c r="G34" s="36"/>
      <c r="H34" s="3" t="s">
        <v>164</v>
      </c>
      <c r="I34" s="3">
        <f t="shared" si="19"/>
        <v>14</v>
      </c>
      <c r="J34" s="3" t="s">
        <v>139</v>
      </c>
      <c r="K34" s="3" t="s">
        <v>159</v>
      </c>
      <c r="L34" s="34" t="e">
        <f t="shared" si="4"/>
        <v>#REF!</v>
      </c>
      <c r="M34" s="34" t="e">
        <f t="shared" si="5"/>
        <v>#REF!</v>
      </c>
      <c r="N34" s="37" t="s">
        <v>160</v>
      </c>
      <c r="O34" s="37" t="s">
        <v>163</v>
      </c>
      <c r="P34" s="37"/>
      <c r="Q34" s="38"/>
      <c r="R34" s="34"/>
      <c r="S34" s="34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2</v>
      </c>
      <c r="AF34" s="3"/>
      <c r="AG34" s="34"/>
      <c r="AH34" s="34"/>
      <c r="AI34" s="34"/>
      <c r="AJ34" s="34"/>
      <c r="AK34" s="34"/>
      <c r="AL34" s="34"/>
      <c r="AM34" s="34"/>
      <c r="AN34" s="3"/>
      <c r="AO34" s="3"/>
      <c r="AP34" s="34"/>
      <c r="AQ34" s="3"/>
      <c r="AR34" s="3"/>
      <c r="AS34" s="3"/>
      <c r="AT34" s="3"/>
      <c r="AU34" s="3"/>
      <c r="AV34" s="3"/>
    </row>
    <row r="35" spans="1:48" ht="14.25" customHeight="1" x14ac:dyDescent="0.25">
      <c r="A35" s="3" t="str">
        <f t="shared" si="18"/>
        <v>ES0301</v>
      </c>
      <c r="B35" s="34"/>
      <c r="C35" s="34"/>
      <c r="D35" s="36" t="s">
        <v>157</v>
      </c>
      <c r="E35" s="35" t="s">
        <v>36</v>
      </c>
      <c r="F35" s="35" t="s">
        <v>32</v>
      </c>
      <c r="G35" s="36"/>
      <c r="H35" s="3" t="s">
        <v>615</v>
      </c>
      <c r="I35" s="3">
        <f t="shared" si="19"/>
        <v>14</v>
      </c>
      <c r="J35" s="3"/>
      <c r="K35" s="3"/>
      <c r="L35" s="34"/>
      <c r="M35" s="34"/>
      <c r="N35" s="37"/>
      <c r="O35" s="37"/>
      <c r="P35" s="37"/>
      <c r="Q35" s="38"/>
      <c r="R35" s="34"/>
      <c r="S35" s="34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2</v>
      </c>
      <c r="AF35" s="3"/>
      <c r="AG35" s="34"/>
      <c r="AH35" s="34"/>
      <c r="AI35" s="34"/>
      <c r="AJ35" s="34"/>
      <c r="AK35" s="34"/>
      <c r="AL35" s="34"/>
      <c r="AM35" s="34"/>
      <c r="AN35" s="3"/>
      <c r="AO35" s="3"/>
      <c r="AP35" s="34"/>
      <c r="AQ35" s="3"/>
      <c r="AR35" s="3"/>
      <c r="AS35" s="3"/>
      <c r="AT35" s="3"/>
      <c r="AU35" s="3"/>
      <c r="AV35" s="3"/>
    </row>
    <row r="36" spans="1:48" ht="14.25" customHeight="1" x14ac:dyDescent="0.25">
      <c r="A36" s="1" t="s">
        <v>54</v>
      </c>
      <c r="B36" s="34"/>
      <c r="C36" s="34"/>
      <c r="D36" s="36"/>
      <c r="E36" s="35"/>
      <c r="F36" s="35"/>
      <c r="G36" s="36"/>
      <c r="H36" s="3"/>
      <c r="I36" s="3" t="s">
        <v>109</v>
      </c>
      <c r="J36" s="3"/>
      <c r="K36" s="3"/>
      <c r="L36" s="34" t="str">
        <f t="shared" si="4"/>
        <v/>
      </c>
      <c r="M36" s="34" t="str">
        <f t="shared" si="5"/>
        <v/>
      </c>
      <c r="N36" s="37"/>
      <c r="O36" s="37"/>
      <c r="P36" s="37"/>
      <c r="Q36" s="38"/>
      <c r="R36" s="34"/>
      <c r="S36" s="34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4"/>
      <c r="AH36" s="34"/>
      <c r="AI36" s="34"/>
      <c r="AJ36" s="34"/>
      <c r="AK36" s="34"/>
      <c r="AL36" s="34"/>
      <c r="AM36" s="34"/>
      <c r="AN36" s="3"/>
      <c r="AO36" s="3"/>
      <c r="AP36" s="34"/>
      <c r="AQ36" s="3"/>
      <c r="AR36" s="3"/>
      <c r="AS36" s="3"/>
      <c r="AT36" s="3"/>
      <c r="AU36" s="3"/>
      <c r="AV36" s="3"/>
    </row>
    <row r="37" spans="1:48" ht="14.25" customHeight="1" x14ac:dyDescent="0.25">
      <c r="A37" s="3" t="str">
        <f>IF(D37="MCP",E37&amp;F37&amp;G37,B37&amp;C37&amp;D37&amp;E37&amp;F37&amp;G37)</f>
        <v>GZ1301</v>
      </c>
      <c r="B37" s="34"/>
      <c r="C37" s="34"/>
      <c r="D37" s="36" t="s">
        <v>165</v>
      </c>
      <c r="E37" s="35" t="s">
        <v>53</v>
      </c>
      <c r="F37" s="35" t="s">
        <v>32</v>
      </c>
      <c r="G37" s="36"/>
      <c r="H37" s="36" t="s">
        <v>519</v>
      </c>
      <c r="I37" s="3">
        <f>IF(ISTEXT(H37),LEN(H37),"")</f>
        <v>12</v>
      </c>
      <c r="J37" t="s">
        <v>139</v>
      </c>
      <c r="K37" t="s">
        <v>380</v>
      </c>
      <c r="L37" s="66" t="e">
        <f t="shared" ref="L37:L40" si="20">IF(ISBLANK(J37),"",IF(ISBLANK(K37),"0",VLOOKUP(K37,OMAC_Alarms,2,FALSE)))</f>
        <v>#REF!</v>
      </c>
      <c r="M37" s="66" t="e">
        <f t="shared" ref="M37:M40" si="21">IF(ISBLANK(J37),"",VLOOKUP(D37,ClassCodesRange,3,FALSE)&amp;E37&amp;F37)</f>
        <v>#REF!</v>
      </c>
      <c r="N37" s="37" t="s">
        <v>549</v>
      </c>
      <c r="O37" s="37"/>
      <c r="P37" s="37"/>
      <c r="Q37" s="38"/>
      <c r="R37" s="34"/>
      <c r="S37" s="34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2</v>
      </c>
      <c r="AF37" s="3"/>
      <c r="AG37" s="34"/>
      <c r="AH37" s="34"/>
      <c r="AI37" s="34"/>
      <c r="AJ37" s="34"/>
      <c r="AK37" s="34"/>
      <c r="AL37" s="34"/>
      <c r="AM37" s="34"/>
      <c r="AN37" s="3"/>
      <c r="AO37" s="3"/>
      <c r="AP37" s="34"/>
      <c r="AQ37" s="3"/>
      <c r="AR37" s="3"/>
      <c r="AS37" s="3"/>
      <c r="AT37" s="3"/>
      <c r="AU37" s="3"/>
      <c r="AV37" s="3"/>
    </row>
    <row r="38" spans="1:48" ht="14.25" customHeight="1" x14ac:dyDescent="0.25">
      <c r="A38" s="3" t="str">
        <f t="shared" ref="A38:A40" si="22">IF(D38="MCP",E38&amp;F38&amp;G38,B38&amp;C38&amp;D38&amp;E38&amp;F38&amp;G38)</f>
        <v>GZ1302</v>
      </c>
      <c r="B38" s="34"/>
      <c r="C38" s="34"/>
      <c r="D38" s="36" t="s">
        <v>165</v>
      </c>
      <c r="E38" s="35" t="s">
        <v>53</v>
      </c>
      <c r="F38" s="35" t="s">
        <v>34</v>
      </c>
      <c r="G38" s="36"/>
      <c r="H38" s="36" t="s">
        <v>520</v>
      </c>
      <c r="I38" s="3">
        <f t="shared" ref="I38:I40" si="23">IF(ISTEXT(H38),LEN(H38),"")</f>
        <v>12</v>
      </c>
      <c r="J38" t="s">
        <v>139</v>
      </c>
      <c r="K38" t="s">
        <v>380</v>
      </c>
      <c r="L38" s="66" t="e">
        <f t="shared" si="20"/>
        <v>#REF!</v>
      </c>
      <c r="M38" s="66" t="e">
        <f t="shared" si="21"/>
        <v>#REF!</v>
      </c>
      <c r="N38" s="37" t="s">
        <v>549</v>
      </c>
      <c r="O38" s="37"/>
      <c r="P38" s="37"/>
      <c r="Q38" s="38"/>
      <c r="R38" s="34"/>
      <c r="S38" s="34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2</v>
      </c>
      <c r="AF38" s="3"/>
      <c r="AG38" s="34"/>
      <c r="AH38" s="34"/>
      <c r="AI38" s="34"/>
      <c r="AJ38" s="34"/>
      <c r="AK38" s="34"/>
      <c r="AL38" s="34"/>
      <c r="AM38" s="34"/>
      <c r="AN38" s="3"/>
      <c r="AO38" s="3"/>
      <c r="AP38" s="34"/>
      <c r="AQ38" s="3"/>
      <c r="AR38" s="3"/>
      <c r="AS38" s="3"/>
      <c r="AT38" s="3"/>
      <c r="AU38" s="3"/>
      <c r="AV38" s="3"/>
    </row>
    <row r="39" spans="1:48" ht="14.25" customHeight="1" x14ac:dyDescent="0.25">
      <c r="A39" s="3" t="str">
        <f t="shared" si="22"/>
        <v>GZ1303</v>
      </c>
      <c r="B39" s="34"/>
      <c r="C39" s="34"/>
      <c r="D39" s="36" t="s">
        <v>165</v>
      </c>
      <c r="E39" s="35" t="s">
        <v>53</v>
      </c>
      <c r="F39" s="35" t="s">
        <v>36</v>
      </c>
      <c r="G39" s="36"/>
      <c r="H39" s="36" t="s">
        <v>521</v>
      </c>
      <c r="I39" s="3">
        <f t="shared" si="23"/>
        <v>12</v>
      </c>
      <c r="J39" t="s">
        <v>139</v>
      </c>
      <c r="K39" t="s">
        <v>380</v>
      </c>
      <c r="L39" s="66" t="e">
        <f t="shared" si="20"/>
        <v>#REF!</v>
      </c>
      <c r="M39" s="66" t="e">
        <f t="shared" si="21"/>
        <v>#REF!</v>
      </c>
      <c r="N39" s="37" t="s">
        <v>549</v>
      </c>
      <c r="O39" s="37"/>
      <c r="P39" s="37"/>
      <c r="Q39" s="38"/>
      <c r="R39" s="34"/>
      <c r="S39" s="34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2</v>
      </c>
      <c r="AF39" s="3"/>
      <c r="AG39" s="34"/>
      <c r="AH39" s="34"/>
      <c r="AI39" s="34"/>
      <c r="AJ39" s="34"/>
      <c r="AK39" s="34"/>
      <c r="AL39" s="34"/>
      <c r="AM39" s="34"/>
      <c r="AN39" s="3"/>
      <c r="AO39" s="3"/>
      <c r="AP39" s="34"/>
      <c r="AQ39" s="3"/>
      <c r="AR39" s="3"/>
      <c r="AS39" s="3"/>
      <c r="AT39" s="3"/>
      <c r="AU39" s="3"/>
      <c r="AV39" s="3"/>
    </row>
    <row r="40" spans="1:48" ht="14.25" customHeight="1" x14ac:dyDescent="0.25">
      <c r="A40" s="3" t="str">
        <f t="shared" si="22"/>
        <v>GZ1304</v>
      </c>
      <c r="B40" s="34"/>
      <c r="C40" s="34"/>
      <c r="D40" s="36" t="s">
        <v>165</v>
      </c>
      <c r="E40" s="35" t="s">
        <v>53</v>
      </c>
      <c r="F40" s="35" t="s">
        <v>38</v>
      </c>
      <c r="G40" s="36"/>
      <c r="H40" s="36" t="s">
        <v>548</v>
      </c>
      <c r="I40" s="3">
        <f t="shared" si="23"/>
        <v>12</v>
      </c>
      <c r="J40" t="s">
        <v>139</v>
      </c>
      <c r="K40" t="s">
        <v>380</v>
      </c>
      <c r="L40" s="66" t="e">
        <f t="shared" si="20"/>
        <v>#REF!</v>
      </c>
      <c r="M40" s="66" t="e">
        <f t="shared" si="21"/>
        <v>#REF!</v>
      </c>
      <c r="N40" s="37" t="s">
        <v>549</v>
      </c>
      <c r="O40" s="37"/>
      <c r="P40" s="37"/>
      <c r="Q40" s="38"/>
      <c r="R40" s="34"/>
      <c r="S40" s="34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2</v>
      </c>
      <c r="AF40" s="3"/>
      <c r="AG40" s="34"/>
      <c r="AH40" s="34"/>
      <c r="AI40" s="34"/>
      <c r="AJ40" s="34"/>
      <c r="AK40" s="34"/>
      <c r="AL40" s="34"/>
      <c r="AM40" s="34"/>
      <c r="AN40" s="3"/>
      <c r="AO40" s="3"/>
      <c r="AP40" s="34"/>
      <c r="AQ40" s="3"/>
      <c r="AR40" s="3"/>
      <c r="AS40" s="3"/>
      <c r="AT40" s="3"/>
      <c r="AU40" s="3"/>
      <c r="AV40" s="3"/>
    </row>
    <row r="41" spans="1:48" ht="14.25" customHeight="1" x14ac:dyDescent="0.25">
      <c r="A41" s="1" t="s">
        <v>175</v>
      </c>
      <c r="B41" s="34"/>
      <c r="C41" s="34"/>
      <c r="D41" s="36"/>
      <c r="E41" s="35"/>
      <c r="F41" s="35"/>
      <c r="G41" s="36"/>
      <c r="H41" s="3"/>
      <c r="I41" s="3" t="s">
        <v>109</v>
      </c>
      <c r="J41" s="3"/>
      <c r="K41" s="3"/>
      <c r="L41" s="34" t="str">
        <f t="shared" si="4"/>
        <v/>
      </c>
      <c r="M41" s="34" t="str">
        <f t="shared" si="5"/>
        <v/>
      </c>
      <c r="N41" s="37"/>
      <c r="O41" s="37"/>
      <c r="P41" s="37"/>
      <c r="Q41" s="38"/>
      <c r="R41" s="34"/>
      <c r="S41" s="34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4"/>
      <c r="AH41" s="34"/>
      <c r="AI41" s="34"/>
      <c r="AJ41" s="34"/>
      <c r="AK41" s="34"/>
      <c r="AL41" s="34"/>
      <c r="AM41" s="34"/>
      <c r="AN41" s="3"/>
      <c r="AO41" s="3"/>
      <c r="AP41" s="34"/>
      <c r="AQ41" s="3"/>
      <c r="AR41" s="3"/>
      <c r="AS41" s="3"/>
      <c r="AT41" s="3"/>
      <c r="AU41" s="3"/>
      <c r="AV41" s="3"/>
    </row>
    <row r="42" spans="1:48" ht="14.25" customHeight="1" x14ac:dyDescent="0.25">
      <c r="A42" s="3" t="str">
        <f t="shared" ref="A42:A43" si="24">IF(D42="MCP",E42&amp;F42&amp;G42,B42&amp;C42&amp;D42&amp;E42&amp;F42&amp;G42)</f>
        <v>MO2301</v>
      </c>
      <c r="B42" s="34"/>
      <c r="C42" s="34"/>
      <c r="D42" s="36" t="s">
        <v>166</v>
      </c>
      <c r="E42" s="35" t="s">
        <v>145</v>
      </c>
      <c r="F42" s="35" t="s">
        <v>32</v>
      </c>
      <c r="G42" s="36"/>
      <c r="H42" s="36" t="s">
        <v>565</v>
      </c>
      <c r="I42" s="3">
        <f>IF(ISTEXT(H42),LEN(H42),"")</f>
        <v>23</v>
      </c>
      <c r="J42" s="67" t="s">
        <v>176</v>
      </c>
      <c r="K42" t="s">
        <v>179</v>
      </c>
      <c r="L42" s="66" t="e">
        <f t="shared" ref="L42" si="25">IF(ISBLANK(J42),"",IF(ISBLANK(K42),"0",VLOOKUP(K42,OMAC_Alarms,2,FALSE)))</f>
        <v>#REF!</v>
      </c>
      <c r="M42" s="66" t="e">
        <f>IF(ISBLANK(J42),"",VLOOKUP(D42,ClassCodesRange,3,FALSE)&amp;E42&amp;F42)</f>
        <v>#REF!</v>
      </c>
      <c r="N42" s="37"/>
      <c r="O42" s="37"/>
      <c r="P42" s="37"/>
      <c r="Q42" s="38"/>
      <c r="R42" s="34"/>
      <c r="S42" s="34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4"/>
      <c r="AH42" s="34"/>
      <c r="AI42" s="34"/>
      <c r="AJ42" s="34"/>
      <c r="AK42" s="34"/>
      <c r="AL42" s="34"/>
      <c r="AM42" s="34"/>
      <c r="AN42" s="3"/>
      <c r="AO42" s="3"/>
      <c r="AP42" s="34"/>
      <c r="AQ42" s="3"/>
      <c r="AR42" s="3"/>
      <c r="AS42" s="3"/>
      <c r="AT42" s="3"/>
      <c r="AU42" s="3"/>
      <c r="AV42" s="3"/>
    </row>
    <row r="43" spans="1:48" ht="14.25" customHeight="1" x14ac:dyDescent="0.25">
      <c r="A43" s="3" t="str">
        <f t="shared" si="24"/>
        <v>SC2301</v>
      </c>
      <c r="B43" s="34"/>
      <c r="C43" s="34"/>
      <c r="D43" s="36" t="s">
        <v>172</v>
      </c>
      <c r="E43" s="35" t="s">
        <v>145</v>
      </c>
      <c r="F43" s="36" t="s">
        <v>32</v>
      </c>
      <c r="G43" s="36"/>
      <c r="H43" s="36" t="s">
        <v>566</v>
      </c>
      <c r="I43" s="3"/>
      <c r="J43" s="67"/>
      <c r="L43" s="66"/>
      <c r="M43" s="66"/>
      <c r="N43" s="37"/>
      <c r="O43" s="37"/>
      <c r="P43" s="37"/>
      <c r="Q43" s="38"/>
      <c r="R43" s="34"/>
      <c r="S43" s="34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4"/>
      <c r="AH43" s="34"/>
      <c r="AI43" s="34"/>
      <c r="AJ43" s="34"/>
      <c r="AK43" s="34"/>
      <c r="AL43" s="34"/>
      <c r="AM43" s="34"/>
      <c r="AN43" s="3"/>
      <c r="AO43" s="3"/>
      <c r="AP43" s="34"/>
      <c r="AQ43" s="3"/>
      <c r="AR43" s="3"/>
      <c r="AS43" s="3"/>
      <c r="AT43" s="3"/>
      <c r="AU43" s="3"/>
      <c r="AV43" s="3"/>
    </row>
    <row r="44" spans="1:48" ht="14.25" customHeight="1" x14ac:dyDescent="0.25">
      <c r="A44" s="1" t="s">
        <v>651</v>
      </c>
      <c r="B44" s="34"/>
      <c r="C44" s="34"/>
      <c r="D44" s="36"/>
      <c r="E44" s="40"/>
      <c r="F44" s="36"/>
      <c r="G44" s="36"/>
      <c r="H44" s="37"/>
      <c r="I44" s="3" t="s">
        <v>109</v>
      </c>
      <c r="J44" s="3"/>
      <c r="K44" s="3"/>
      <c r="L44" s="34" t="str">
        <f t="shared" ref="L44" si="26">IF(ISBLANK(J44),"",IF(ISBLANK(K44),"0",VLOOKUP(K44,OMAC_Alarms,2,FALSE)))</f>
        <v/>
      </c>
      <c r="M44" s="34" t="str">
        <f t="shared" ref="M44" si="27">IF(ISBLANK(J44),"",VLOOKUP(D44,ClassCodesRange,3,FALSE)&amp;E44&amp;F44)</f>
        <v/>
      </c>
      <c r="N44" s="37"/>
      <c r="O44" s="37"/>
      <c r="P44" s="2"/>
      <c r="Q44" s="3"/>
      <c r="R44" s="34"/>
      <c r="S44" s="34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4"/>
      <c r="AH44" s="37"/>
      <c r="AI44" s="34"/>
      <c r="AJ44" s="34"/>
      <c r="AK44" s="34"/>
      <c r="AL44" s="34"/>
      <c r="AM44" s="34"/>
      <c r="AN44" s="3"/>
      <c r="AO44" s="3"/>
      <c r="AP44" s="34"/>
      <c r="AQ44" s="3"/>
      <c r="AR44" s="3"/>
      <c r="AS44" s="3"/>
      <c r="AT44" s="3"/>
      <c r="AU44" s="18"/>
    </row>
    <row r="45" spans="1:48" ht="14.25" customHeight="1" x14ac:dyDescent="0.25">
      <c r="A45" s="3" t="str">
        <f t="shared" ref="A45:A49" si="28">IF(D45="MCP",E45&amp;F45&amp;G45,B45&amp;C45&amp;D45&amp;E45&amp;F45&amp;G45)</f>
        <v>MO1701</v>
      </c>
      <c r="B45" s="34"/>
      <c r="C45" s="34"/>
      <c r="D45" s="36" t="s">
        <v>166</v>
      </c>
      <c r="E45" s="40" t="s">
        <v>58</v>
      </c>
      <c r="F45" s="36" t="s">
        <v>32</v>
      </c>
      <c r="G45" s="36"/>
      <c r="H45" s="37" t="s">
        <v>646</v>
      </c>
      <c r="I45" s="3">
        <f t="shared" ref="I45:I59" si="29">IF(ISTEXT(H45),LEN(H45),"")</f>
        <v>17</v>
      </c>
      <c r="J45" s="2"/>
      <c r="K45" s="2"/>
      <c r="L45" s="34"/>
      <c r="M45" s="34"/>
      <c r="N45" s="2"/>
      <c r="O45" s="37"/>
      <c r="P45" s="37"/>
      <c r="Q45" s="38"/>
      <c r="R45" s="34"/>
      <c r="S45" s="34"/>
      <c r="T45" s="3"/>
      <c r="U45" s="3"/>
      <c r="V45" s="3"/>
      <c r="W45" s="3"/>
      <c r="X45" s="3"/>
      <c r="Y45" s="3"/>
      <c r="Z45" s="3"/>
      <c r="AA45" s="3"/>
      <c r="AB45" s="41"/>
      <c r="AC45" s="3"/>
      <c r="AD45" s="3"/>
      <c r="AE45" s="3"/>
      <c r="AF45" s="3"/>
      <c r="AG45" s="34"/>
      <c r="AH45" s="37"/>
      <c r="AI45" s="34"/>
      <c r="AJ45" s="34"/>
      <c r="AK45" s="34"/>
      <c r="AL45" s="34"/>
      <c r="AM45" s="34"/>
      <c r="AN45" s="3"/>
      <c r="AO45" s="3"/>
      <c r="AP45" s="34"/>
      <c r="AQ45" s="3"/>
      <c r="AR45" s="3"/>
      <c r="AS45" s="3"/>
      <c r="AT45" s="3"/>
      <c r="AU45" s="18"/>
    </row>
    <row r="46" spans="1:48" ht="14.25" customHeight="1" x14ac:dyDescent="0.25">
      <c r="A46" s="3" t="str">
        <f t="shared" si="28"/>
        <v>SC1701</v>
      </c>
      <c r="B46" s="34"/>
      <c r="C46" s="34"/>
      <c r="D46" s="36" t="s">
        <v>172</v>
      </c>
      <c r="E46" s="40" t="s">
        <v>58</v>
      </c>
      <c r="F46" s="36" t="s">
        <v>32</v>
      </c>
      <c r="G46" s="36"/>
      <c r="H46" s="37" t="s">
        <v>647</v>
      </c>
      <c r="I46" s="3">
        <f t="shared" si="29"/>
        <v>25</v>
      </c>
      <c r="J46" t="s">
        <v>285</v>
      </c>
      <c r="K46" t="s">
        <v>393</v>
      </c>
      <c r="L46" s="66" t="e">
        <f t="shared" ref="L46" si="30">IF(ISBLANK(J46),"",IF(ISBLANK(K46),"0",VLOOKUP(K46,OMAC_Alarms,2,FALSE)))</f>
        <v>#REF!</v>
      </c>
      <c r="M46" s="66" t="e">
        <f t="shared" ref="M46" si="31">IF(ISBLANK(J46),"",VLOOKUP(D46,ClassCodesRange,3,FALSE)&amp;E46&amp;F46)</f>
        <v>#REF!</v>
      </c>
      <c r="N46" s="2"/>
      <c r="O46" s="37"/>
      <c r="P46" s="37"/>
      <c r="Q46" s="38"/>
      <c r="R46" s="34"/>
      <c r="S46" s="34"/>
      <c r="T46" s="3"/>
      <c r="U46" s="3"/>
      <c r="V46" s="3"/>
      <c r="W46" s="3"/>
      <c r="X46" s="3"/>
      <c r="Y46" s="3"/>
      <c r="Z46" s="3"/>
      <c r="AA46" s="3"/>
      <c r="AB46" s="41"/>
      <c r="AC46" s="3"/>
      <c r="AD46" s="3"/>
      <c r="AE46" s="3"/>
      <c r="AF46" s="3"/>
      <c r="AG46" s="34"/>
      <c r="AH46" s="37"/>
      <c r="AI46" s="34"/>
      <c r="AJ46" s="34"/>
      <c r="AK46" s="34"/>
      <c r="AL46" s="34"/>
      <c r="AM46" s="34"/>
      <c r="AN46" s="3"/>
      <c r="AO46" s="3"/>
      <c r="AP46" s="34"/>
      <c r="AQ46" s="3"/>
      <c r="AR46" s="3"/>
      <c r="AS46" s="3"/>
      <c r="AT46" s="3"/>
      <c r="AU46" s="18"/>
    </row>
    <row r="47" spans="1:48" ht="14.25" customHeight="1" x14ac:dyDescent="0.25">
      <c r="A47" s="3" t="str">
        <f t="shared" si="28"/>
        <v>PE1701</v>
      </c>
      <c r="B47" s="34"/>
      <c r="C47" s="34"/>
      <c r="D47" s="36" t="s">
        <v>167</v>
      </c>
      <c r="E47" s="40" t="s">
        <v>58</v>
      </c>
      <c r="F47" s="36" t="s">
        <v>32</v>
      </c>
      <c r="G47" s="36"/>
      <c r="H47" s="37" t="s">
        <v>567</v>
      </c>
      <c r="I47" s="3">
        <f t="shared" si="29"/>
        <v>25</v>
      </c>
      <c r="J47" s="2" t="s">
        <v>139</v>
      </c>
      <c r="K47" s="2" t="s">
        <v>168</v>
      </c>
      <c r="L47" s="34" t="e">
        <f t="shared" ref="L47:L51" si="32">IF(ISBLANK(J47),"",IF(ISBLANK(K47),"0",VLOOKUP(K47,OMAC_Alarms,2,FALSE)))</f>
        <v>#REF!</v>
      </c>
      <c r="M47" s="34" t="e">
        <f t="shared" ref="M47:M50" si="33">IF(ISBLANK(J47),"",VLOOKUP(D47,ClassCodesRange,3,FALSE)&amp;E47&amp;F47)</f>
        <v>#REF!</v>
      </c>
      <c r="N47" s="2"/>
      <c r="O47" s="37"/>
      <c r="P47" s="37"/>
      <c r="Q47" s="38"/>
      <c r="R47" s="34"/>
      <c r="S47" s="34"/>
      <c r="T47" s="3"/>
      <c r="U47" s="3">
        <v>1</v>
      </c>
      <c r="V47" s="3"/>
      <c r="W47" s="3"/>
      <c r="X47" s="3"/>
      <c r="Y47" s="3"/>
      <c r="Z47" s="3"/>
      <c r="AA47" s="3"/>
      <c r="AB47" s="41"/>
      <c r="AC47" s="3"/>
      <c r="AD47" s="3"/>
      <c r="AE47" s="3"/>
      <c r="AF47" s="3"/>
      <c r="AG47" s="34"/>
      <c r="AH47" s="37"/>
      <c r="AI47" s="34"/>
      <c r="AJ47" s="34"/>
      <c r="AK47" s="34"/>
      <c r="AL47" s="34"/>
      <c r="AM47" s="34"/>
      <c r="AN47" s="3"/>
      <c r="AO47" s="3"/>
      <c r="AP47" s="34"/>
      <c r="AQ47" s="3"/>
      <c r="AR47" s="3"/>
      <c r="AS47" s="3"/>
      <c r="AT47" s="3"/>
      <c r="AU47" s="18"/>
    </row>
    <row r="48" spans="1:48" ht="14.25" customHeight="1" x14ac:dyDescent="0.25">
      <c r="A48" s="130" t="str">
        <f t="shared" si="28"/>
        <v>GT1701</v>
      </c>
      <c r="B48" s="34"/>
      <c r="C48" s="34"/>
      <c r="D48" s="128" t="s">
        <v>242</v>
      </c>
      <c r="E48" s="129" t="s">
        <v>58</v>
      </c>
      <c r="F48" s="128" t="s">
        <v>32</v>
      </c>
      <c r="G48" s="36"/>
      <c r="H48" s="37" t="s">
        <v>648</v>
      </c>
      <c r="I48" s="130">
        <f t="shared" si="29"/>
        <v>26</v>
      </c>
      <c r="J48" s="2"/>
      <c r="K48" s="2"/>
      <c r="L48" s="34"/>
      <c r="M48" s="34"/>
      <c r="N48" s="2"/>
      <c r="O48" s="37"/>
      <c r="P48" s="37"/>
      <c r="Q48" s="38"/>
      <c r="R48" s="34"/>
      <c r="S48" s="34"/>
      <c r="T48" s="3"/>
      <c r="U48" s="3"/>
      <c r="V48" s="3"/>
      <c r="W48" s="3"/>
      <c r="X48" s="3"/>
      <c r="Y48" s="3"/>
      <c r="Z48" s="3"/>
      <c r="AA48" s="3"/>
      <c r="AB48" s="41"/>
      <c r="AC48" s="3"/>
      <c r="AD48" s="3"/>
      <c r="AE48" s="3"/>
      <c r="AF48" s="3"/>
      <c r="AG48" s="34"/>
      <c r="AH48" s="37"/>
      <c r="AI48" s="34"/>
      <c r="AJ48" s="34"/>
      <c r="AK48" s="34"/>
      <c r="AL48" s="34"/>
      <c r="AM48" s="34"/>
      <c r="AN48" s="3"/>
      <c r="AO48" s="3"/>
      <c r="AP48" s="34"/>
      <c r="AQ48" s="3"/>
      <c r="AR48" s="3"/>
      <c r="AS48" s="3"/>
      <c r="AT48" s="3"/>
      <c r="AU48" s="18"/>
    </row>
    <row r="49" spans="1:48" ht="14.25" customHeight="1" x14ac:dyDescent="0.25">
      <c r="A49" s="3" t="str">
        <f t="shared" si="28"/>
        <v>CA1701</v>
      </c>
      <c r="B49" s="34"/>
      <c r="C49" s="34"/>
      <c r="D49" s="36" t="s">
        <v>578</v>
      </c>
      <c r="E49" s="129" t="s">
        <v>58</v>
      </c>
      <c r="F49" s="36" t="s">
        <v>32</v>
      </c>
      <c r="G49" s="36"/>
      <c r="H49" s="37" t="s">
        <v>582</v>
      </c>
      <c r="I49" s="3"/>
      <c r="J49" s="2"/>
      <c r="K49" s="2"/>
      <c r="L49" s="34"/>
      <c r="M49" s="34"/>
      <c r="N49" s="2"/>
      <c r="O49" s="37"/>
      <c r="P49" s="37"/>
      <c r="Q49" s="3"/>
      <c r="R49" s="34"/>
      <c r="S49" s="34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</row>
    <row r="50" spans="1:48" ht="14.25" customHeight="1" x14ac:dyDescent="0.25">
      <c r="A50" s="1" t="s">
        <v>575</v>
      </c>
      <c r="B50" s="34"/>
      <c r="C50" s="34"/>
      <c r="D50" s="36"/>
      <c r="E50" s="35"/>
      <c r="F50" s="35"/>
      <c r="G50" s="36"/>
      <c r="H50" s="3"/>
      <c r="I50" s="3" t="s">
        <v>109</v>
      </c>
      <c r="J50" s="3"/>
      <c r="K50" s="3"/>
      <c r="L50" s="34" t="str">
        <f t="shared" si="32"/>
        <v/>
      </c>
      <c r="M50" s="34" t="str">
        <f t="shared" si="33"/>
        <v/>
      </c>
      <c r="N50" s="37"/>
      <c r="O50" s="37"/>
      <c r="P50" s="37"/>
      <c r="Q50" s="38"/>
      <c r="R50" s="34"/>
      <c r="S50" s="34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4"/>
      <c r="AH50" s="34"/>
      <c r="AI50" s="34"/>
      <c r="AJ50" s="34"/>
      <c r="AK50" s="34"/>
      <c r="AL50" s="34"/>
      <c r="AM50" s="34"/>
      <c r="AN50" s="3"/>
      <c r="AO50" s="3"/>
      <c r="AP50" s="34"/>
      <c r="AQ50" s="3"/>
      <c r="AR50" s="3"/>
      <c r="AS50" s="3"/>
      <c r="AT50" s="3"/>
      <c r="AU50" s="3"/>
      <c r="AV50" s="3"/>
    </row>
    <row r="51" spans="1:48" ht="14.25" customHeight="1" x14ac:dyDescent="0.25">
      <c r="A51" s="3" t="str">
        <f t="shared" ref="A51:A52" si="34">IF(D51="MCP",E51&amp;F51&amp;G51,B51&amp;C51&amp;D51&amp;E51&amp;F51&amp;G51)</f>
        <v>MO3301</v>
      </c>
      <c r="B51" s="34"/>
      <c r="C51" s="34"/>
      <c r="D51" s="36" t="s">
        <v>166</v>
      </c>
      <c r="E51" s="35" t="s">
        <v>183</v>
      </c>
      <c r="F51" s="35" t="s">
        <v>32</v>
      </c>
      <c r="G51" s="36"/>
      <c r="H51" s="36" t="s">
        <v>576</v>
      </c>
      <c r="I51" s="3">
        <f>IF(ISTEXT(H51),LEN(H51),"")</f>
        <v>23</v>
      </c>
      <c r="J51" s="67" t="s">
        <v>176</v>
      </c>
      <c r="K51" t="s">
        <v>179</v>
      </c>
      <c r="L51" s="66" t="e">
        <f t="shared" si="32"/>
        <v>#REF!</v>
      </c>
      <c r="M51" s="66" t="e">
        <f>IF(ISBLANK(J51),"",VLOOKUP(D51,ClassCodesRange,3,FALSE)&amp;E51&amp;F51)</f>
        <v>#REF!</v>
      </c>
      <c r="N51" s="37"/>
      <c r="O51" s="37"/>
      <c r="P51" s="37"/>
      <c r="Q51" s="38"/>
      <c r="R51" s="34"/>
      <c r="S51" s="34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4"/>
      <c r="AH51" s="34"/>
      <c r="AI51" s="34"/>
      <c r="AJ51" s="34"/>
      <c r="AK51" s="34"/>
      <c r="AL51" s="34"/>
      <c r="AM51" s="34"/>
      <c r="AN51" s="3"/>
      <c r="AO51" s="3"/>
      <c r="AP51" s="34"/>
      <c r="AQ51" s="3"/>
      <c r="AR51" s="3"/>
      <c r="AS51" s="3"/>
      <c r="AT51" s="3"/>
      <c r="AU51" s="3"/>
      <c r="AV51" s="3"/>
    </row>
    <row r="52" spans="1:48" ht="14.25" customHeight="1" x14ac:dyDescent="0.25">
      <c r="A52" s="3" t="str">
        <f t="shared" si="34"/>
        <v>SC3301</v>
      </c>
      <c r="B52" s="34"/>
      <c r="C52" s="34"/>
      <c r="D52" s="36" t="s">
        <v>172</v>
      </c>
      <c r="E52" s="35" t="s">
        <v>183</v>
      </c>
      <c r="F52" s="35" t="s">
        <v>32</v>
      </c>
      <c r="G52" s="36"/>
      <c r="H52" s="36" t="s">
        <v>577</v>
      </c>
      <c r="I52" s="3"/>
      <c r="J52" s="67"/>
      <c r="L52" s="66"/>
      <c r="M52" s="66"/>
      <c r="N52" s="37"/>
      <c r="O52" s="37"/>
      <c r="P52" s="37"/>
      <c r="Q52" s="38"/>
      <c r="R52" s="34"/>
      <c r="S52" s="34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4"/>
      <c r="AH52" s="34"/>
      <c r="AI52" s="34"/>
      <c r="AJ52" s="34"/>
      <c r="AK52" s="34"/>
      <c r="AL52" s="34"/>
      <c r="AM52" s="34"/>
      <c r="AN52" s="3"/>
      <c r="AO52" s="3"/>
      <c r="AP52" s="34"/>
      <c r="AQ52" s="3"/>
      <c r="AR52" s="3"/>
      <c r="AS52" s="3"/>
      <c r="AT52" s="3"/>
      <c r="AU52" s="3"/>
      <c r="AV52" s="3"/>
    </row>
    <row r="53" spans="1:48" ht="14.25" customHeight="1" x14ac:dyDescent="0.25">
      <c r="A53" s="1" t="s">
        <v>568</v>
      </c>
      <c r="B53" s="34"/>
      <c r="C53" s="34"/>
      <c r="D53" s="36"/>
      <c r="E53" s="40"/>
      <c r="F53" s="36"/>
      <c r="G53" s="36"/>
      <c r="H53" s="37"/>
      <c r="I53" s="3" t="str">
        <f t="shared" si="29"/>
        <v/>
      </c>
      <c r="J53" s="2"/>
      <c r="K53" s="2"/>
      <c r="L53" s="34" t="str">
        <f t="shared" ref="L53:L55" si="35">IF(ISBLANK(J53),"",IF(ISBLANK(K53),"0",VLOOKUP(K53,OMAC_Alarms,2,FALSE)))</f>
        <v/>
      </c>
      <c r="M53" s="34" t="str">
        <f t="shared" ref="M53:M55" si="36">IF(ISBLANK(J53),"",VLOOKUP(D53,ClassCodesRange,3,FALSE)&amp;E53&amp;F53)</f>
        <v/>
      </c>
      <c r="N53" s="2"/>
      <c r="O53" s="37"/>
      <c r="P53" s="37"/>
      <c r="Q53" s="38"/>
      <c r="R53" s="34"/>
      <c r="S53" s="34"/>
      <c r="T53" s="3"/>
      <c r="U53" s="3"/>
      <c r="V53" s="3"/>
      <c r="W53" s="3"/>
      <c r="X53" s="3"/>
      <c r="Y53" s="3"/>
      <c r="Z53" s="3"/>
      <c r="AA53" s="3"/>
      <c r="AB53" s="41"/>
      <c r="AC53" s="3"/>
      <c r="AD53" s="3"/>
      <c r="AE53" s="3"/>
      <c r="AF53" s="3"/>
      <c r="AG53" s="34"/>
      <c r="AH53" s="37"/>
      <c r="AI53" s="34"/>
      <c r="AJ53" s="34"/>
      <c r="AK53" s="34"/>
      <c r="AL53" s="34"/>
      <c r="AM53" s="34"/>
      <c r="AN53" s="3"/>
      <c r="AO53" s="3"/>
      <c r="AP53" s="34"/>
      <c r="AQ53" s="3"/>
      <c r="AR53" s="3"/>
      <c r="AS53" s="3"/>
      <c r="AT53" s="3"/>
      <c r="AU53" s="18"/>
    </row>
    <row r="54" spans="1:48" ht="14.25" customHeight="1" x14ac:dyDescent="0.25">
      <c r="A54" s="3" t="str">
        <f t="shared" ref="A54:A59" si="37">IF(D54="MCP",E54&amp;F54&amp;G54,B54&amp;C54&amp;D54&amp;E54&amp;F54&amp;G54)</f>
        <v>RO4101</v>
      </c>
      <c r="B54" s="34"/>
      <c r="C54" s="34"/>
      <c r="D54" s="36" t="s">
        <v>186</v>
      </c>
      <c r="E54" s="40" t="s">
        <v>64</v>
      </c>
      <c r="F54" s="36" t="s">
        <v>32</v>
      </c>
      <c r="G54" s="36"/>
      <c r="H54" s="37" t="s">
        <v>248</v>
      </c>
      <c r="I54" s="3">
        <f t="shared" si="29"/>
        <v>5</v>
      </c>
      <c r="J54" s="2" t="s">
        <v>139</v>
      </c>
      <c r="K54" s="2" t="s">
        <v>168</v>
      </c>
      <c r="L54" s="34" t="e">
        <f t="shared" si="35"/>
        <v>#REF!</v>
      </c>
      <c r="M54" s="34" t="e">
        <f t="shared" si="36"/>
        <v>#REF!</v>
      </c>
      <c r="N54" s="2" t="s">
        <v>160</v>
      </c>
      <c r="O54" s="37" t="s">
        <v>169</v>
      </c>
      <c r="P54" s="37">
        <v>1079712</v>
      </c>
      <c r="Q54" s="3"/>
      <c r="R54" s="34"/>
      <c r="S54" s="34"/>
      <c r="T54" s="3"/>
      <c r="U54" s="3"/>
      <c r="V54" s="3"/>
      <c r="W54" s="3"/>
      <c r="X54" s="3"/>
      <c r="Y54" s="3"/>
      <c r="Z54" s="3"/>
      <c r="AA54" s="3"/>
      <c r="AB54" s="3"/>
      <c r="AC54" s="34"/>
      <c r="AD54" s="34"/>
      <c r="AE54" s="34"/>
      <c r="AF54" s="34"/>
      <c r="AG54" s="34"/>
      <c r="AH54" s="34"/>
      <c r="AI54" s="34"/>
      <c r="AJ54" s="3"/>
      <c r="AK54" s="3"/>
      <c r="AL54" s="34"/>
      <c r="AM54" s="34"/>
      <c r="AN54" s="3"/>
      <c r="AO54" s="3"/>
      <c r="AP54" s="3"/>
      <c r="AQ54" s="3"/>
      <c r="AR54" s="18"/>
      <c r="AS54" s="3"/>
      <c r="AT54" s="3"/>
      <c r="AU54" s="3"/>
      <c r="AV54" s="3"/>
    </row>
    <row r="55" spans="1:48" ht="14.25" customHeight="1" x14ac:dyDescent="0.25">
      <c r="A55" s="3" t="str">
        <f t="shared" si="37"/>
        <v>XC4101</v>
      </c>
      <c r="B55" s="34"/>
      <c r="C55" s="34"/>
      <c r="D55" s="36" t="s">
        <v>115</v>
      </c>
      <c r="E55" s="40" t="s">
        <v>64</v>
      </c>
      <c r="F55" s="36" t="s">
        <v>32</v>
      </c>
      <c r="G55" s="36"/>
      <c r="H55" s="124" t="s">
        <v>635</v>
      </c>
      <c r="I55" s="3">
        <f t="shared" si="29"/>
        <v>16</v>
      </c>
      <c r="J55" s="2" t="s">
        <v>139</v>
      </c>
      <c r="K55" s="2" t="s">
        <v>168</v>
      </c>
      <c r="L55" s="34" t="e">
        <f t="shared" si="35"/>
        <v>#REF!</v>
      </c>
      <c r="M55" s="34" t="e">
        <f t="shared" si="36"/>
        <v>#REF!</v>
      </c>
      <c r="N55" s="2" t="s">
        <v>160</v>
      </c>
      <c r="O55" s="37" t="s">
        <v>169</v>
      </c>
      <c r="P55" s="37">
        <v>1079712</v>
      </c>
      <c r="Q55" s="3"/>
      <c r="R55" s="34"/>
      <c r="S55" s="34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</row>
    <row r="56" spans="1:48" ht="14.25" customHeight="1" x14ac:dyDescent="0.25">
      <c r="A56" s="3" t="str">
        <f t="shared" si="37"/>
        <v>CY4101</v>
      </c>
      <c r="B56" s="34"/>
      <c r="C56" s="34"/>
      <c r="D56" s="36" t="s">
        <v>174</v>
      </c>
      <c r="E56" s="40" t="s">
        <v>64</v>
      </c>
      <c r="F56" s="36" t="s">
        <v>32</v>
      </c>
      <c r="G56" s="36"/>
      <c r="H56" s="37" t="s">
        <v>569</v>
      </c>
      <c r="I56" s="3">
        <f t="shared" si="29"/>
        <v>14</v>
      </c>
      <c r="J56" s="2" t="s">
        <v>139</v>
      </c>
      <c r="K56" s="2" t="s">
        <v>168</v>
      </c>
      <c r="L56" s="34" t="e">
        <f t="shared" ref="L56" si="38">IF(ISBLANK(J56),"",IF(ISBLANK(K56),"0",VLOOKUP(K56,OMAC_Alarms,2,FALSE)))</f>
        <v>#REF!</v>
      </c>
      <c r="M56" s="34" t="e">
        <f t="shared" ref="M56" si="39">IF(ISBLANK(J56),"",VLOOKUP(D56,ClassCodesRange,3,FALSE)&amp;E56&amp;F56)</f>
        <v>#REF!</v>
      </c>
      <c r="N56" s="2"/>
      <c r="O56" s="37"/>
      <c r="P56" s="37"/>
      <c r="Q56" s="3"/>
      <c r="R56" s="34"/>
      <c r="S56" s="34"/>
      <c r="T56" s="3">
        <v>2</v>
      </c>
      <c r="U56" s="3">
        <v>2</v>
      </c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</row>
    <row r="57" spans="1:48" ht="14.25" customHeight="1" x14ac:dyDescent="0.25">
      <c r="A57" s="3" t="str">
        <f t="shared" si="37"/>
        <v>CY4102</v>
      </c>
      <c r="B57" s="34"/>
      <c r="C57" s="34"/>
      <c r="D57" s="36" t="s">
        <v>174</v>
      </c>
      <c r="E57" s="40" t="s">
        <v>64</v>
      </c>
      <c r="F57" s="36" t="s">
        <v>34</v>
      </c>
      <c r="G57" s="36"/>
      <c r="H57" s="37" t="s">
        <v>570</v>
      </c>
      <c r="I57" s="3">
        <f t="shared" si="29"/>
        <v>14</v>
      </c>
      <c r="J57" s="2"/>
      <c r="K57" s="2"/>
      <c r="L57" s="34"/>
      <c r="M57" s="34"/>
      <c r="N57" s="2"/>
      <c r="O57" s="37"/>
      <c r="P57" s="37"/>
      <c r="Q57" s="3"/>
      <c r="R57" s="34"/>
      <c r="S57" s="34"/>
      <c r="T57" s="3">
        <v>2</v>
      </c>
      <c r="U57" s="3">
        <v>2</v>
      </c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</row>
    <row r="58" spans="1:48" s="135" customFormat="1" ht="14.25" customHeight="1" x14ac:dyDescent="0.25">
      <c r="A58" s="3" t="s">
        <v>652</v>
      </c>
      <c r="B58" s="34"/>
      <c r="C58" s="34"/>
      <c r="D58" s="36"/>
      <c r="E58" s="40"/>
      <c r="F58" s="36"/>
      <c r="G58" s="36"/>
      <c r="H58" s="37" t="s">
        <v>653</v>
      </c>
      <c r="I58" s="3">
        <f t="shared" si="29"/>
        <v>34</v>
      </c>
      <c r="J58" s="2"/>
      <c r="K58" s="2"/>
      <c r="L58" s="34"/>
      <c r="M58" s="34"/>
      <c r="N58" s="2"/>
      <c r="O58" s="37"/>
      <c r="P58" s="37"/>
      <c r="Q58" s="3"/>
      <c r="R58" s="34"/>
      <c r="S58" s="34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</row>
    <row r="59" spans="1:48" ht="14.25" customHeight="1" x14ac:dyDescent="0.25">
      <c r="A59" s="3" t="str">
        <f t="shared" si="37"/>
        <v>PE4101</v>
      </c>
      <c r="B59" s="34"/>
      <c r="C59" s="34"/>
      <c r="D59" s="36" t="s">
        <v>167</v>
      </c>
      <c r="E59" s="40" t="s">
        <v>64</v>
      </c>
      <c r="F59" s="36" t="s">
        <v>32</v>
      </c>
      <c r="G59" s="36"/>
      <c r="H59" s="37" t="s">
        <v>643</v>
      </c>
      <c r="I59" s="3">
        <f t="shared" si="29"/>
        <v>12</v>
      </c>
      <c r="J59" s="2"/>
      <c r="K59" s="2"/>
      <c r="L59" s="34"/>
      <c r="M59" s="34"/>
      <c r="N59" s="2"/>
      <c r="O59" s="37"/>
      <c r="P59" s="37"/>
      <c r="Q59" s="3"/>
      <c r="R59" s="34"/>
      <c r="S59" s="34"/>
      <c r="T59" s="3"/>
      <c r="U59" s="3">
        <v>1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</row>
    <row r="60" spans="1:48" ht="14.25" customHeight="1" x14ac:dyDescent="0.25">
      <c r="A60" s="131" t="s">
        <v>636</v>
      </c>
      <c r="B60" s="40"/>
      <c r="C60" s="42"/>
      <c r="D60" s="36"/>
      <c r="E60" s="3"/>
      <c r="I60" s="3" t="s">
        <v>109</v>
      </c>
      <c r="L60" s="34" t="str">
        <f t="shared" ref="L60:L65" si="40">IF(ISBLANK(J60),"",IF(ISBLANK(K60),"0",VLOOKUP(K60,OMAC_Alarms,2,FALSE)))</f>
        <v/>
      </c>
      <c r="M60" s="34" t="str">
        <f t="shared" ref="M60:M65" si="41">IF(ISBLANK(J60),"",VLOOKUP(D60,ClassCodesRange,3,FALSE)&amp;E60&amp;F60)</f>
        <v/>
      </c>
      <c r="O60" s="18"/>
      <c r="P60" s="18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I60" s="34"/>
      <c r="AJ60" s="34"/>
      <c r="AN60" s="3"/>
      <c r="AO60" s="3"/>
    </row>
    <row r="61" spans="1:48" ht="14.25" customHeight="1" x14ac:dyDescent="0.25">
      <c r="A61" s="3" t="str">
        <f t="shared" ref="A61:A66" si="42">IF(D61="MCP",E61&amp;F61&amp;G61,B61&amp;C61&amp;D61&amp;E61&amp;F61&amp;G61)</f>
        <v>PE5101</v>
      </c>
      <c r="B61" s="34"/>
      <c r="C61" s="34"/>
      <c r="D61" s="36" t="s">
        <v>167</v>
      </c>
      <c r="E61" s="40" t="s">
        <v>321</v>
      </c>
      <c r="F61" s="36" t="s">
        <v>32</v>
      </c>
      <c r="G61" s="36"/>
      <c r="H61" s="37" t="s">
        <v>571</v>
      </c>
      <c r="I61" s="3">
        <f t="shared" ref="I61:I66" si="43">IF(ISTEXT(H61),LEN(H61),"")</f>
        <v>24</v>
      </c>
      <c r="J61" s="2" t="s">
        <v>139</v>
      </c>
      <c r="K61" s="2" t="s">
        <v>168</v>
      </c>
      <c r="L61" s="34" t="e">
        <f t="shared" si="40"/>
        <v>#REF!</v>
      </c>
      <c r="M61" s="34" t="e">
        <f t="shared" si="41"/>
        <v>#REF!</v>
      </c>
      <c r="N61" s="2" t="s">
        <v>160</v>
      </c>
      <c r="O61" s="37" t="s">
        <v>169</v>
      </c>
      <c r="P61" s="37">
        <v>1079712</v>
      </c>
      <c r="Q61" s="38" t="s">
        <v>170</v>
      </c>
      <c r="R61" s="34"/>
      <c r="S61" s="34"/>
      <c r="T61" s="41"/>
      <c r="U61" s="3">
        <v>1</v>
      </c>
      <c r="V61" s="3"/>
      <c r="W61" s="3"/>
      <c r="X61" s="3"/>
      <c r="Y61" s="3"/>
      <c r="Z61" s="3"/>
      <c r="AA61" s="3"/>
      <c r="AB61" s="41"/>
      <c r="AC61" s="3"/>
      <c r="AD61" s="3"/>
      <c r="AE61" s="3"/>
      <c r="AF61" s="3"/>
      <c r="AG61" s="34">
        <v>2</v>
      </c>
      <c r="AH61" s="37"/>
      <c r="AI61" s="34"/>
      <c r="AJ61" s="34"/>
      <c r="AK61" s="34"/>
      <c r="AL61" s="34"/>
      <c r="AM61" s="34"/>
      <c r="AN61" s="3"/>
      <c r="AO61" s="3"/>
      <c r="AP61" s="34"/>
      <c r="AQ61" s="3"/>
      <c r="AR61" s="3"/>
      <c r="AS61" s="3"/>
      <c r="AT61" s="3"/>
      <c r="AU61" s="18"/>
    </row>
    <row r="62" spans="1:48" ht="14.25" customHeight="1" x14ac:dyDescent="0.25">
      <c r="A62" s="3" t="str">
        <f t="shared" si="42"/>
        <v>PE5102</v>
      </c>
      <c r="B62" s="34"/>
      <c r="C62" s="34"/>
      <c r="D62" s="36" t="s">
        <v>167</v>
      </c>
      <c r="E62" s="40" t="s">
        <v>321</v>
      </c>
      <c r="F62" s="36" t="s">
        <v>34</v>
      </c>
      <c r="G62" s="3"/>
      <c r="H62" s="37" t="s">
        <v>572</v>
      </c>
      <c r="I62" s="3">
        <f t="shared" si="43"/>
        <v>24</v>
      </c>
      <c r="J62" s="2" t="s">
        <v>139</v>
      </c>
      <c r="K62" s="2" t="s">
        <v>168</v>
      </c>
      <c r="L62" s="34" t="e">
        <f t="shared" si="40"/>
        <v>#REF!</v>
      </c>
      <c r="M62" s="34" t="e">
        <f t="shared" si="41"/>
        <v>#REF!</v>
      </c>
      <c r="N62" s="2" t="s">
        <v>160</v>
      </c>
      <c r="O62" s="37" t="s">
        <v>169</v>
      </c>
      <c r="P62" s="37">
        <v>1079712</v>
      </c>
      <c r="Q62" s="38" t="s">
        <v>170</v>
      </c>
      <c r="R62" s="34"/>
      <c r="S62" s="34"/>
      <c r="T62" s="41"/>
      <c r="U62" s="3">
        <v>1</v>
      </c>
      <c r="V62" s="3"/>
      <c r="W62" s="3"/>
      <c r="X62" s="3"/>
      <c r="Y62" s="3"/>
      <c r="Z62" s="3"/>
      <c r="AA62" s="3"/>
      <c r="AB62" s="41"/>
      <c r="AC62" s="3"/>
      <c r="AD62" s="3"/>
      <c r="AE62" s="3"/>
      <c r="AF62" s="3"/>
      <c r="AG62" s="34">
        <v>4</v>
      </c>
      <c r="AH62" s="37"/>
      <c r="AI62" s="34"/>
      <c r="AJ62" s="34"/>
      <c r="AK62" s="34"/>
      <c r="AL62" s="34"/>
      <c r="AM62" s="34"/>
      <c r="AN62" s="3"/>
      <c r="AO62" s="3"/>
      <c r="AP62" s="34"/>
      <c r="AQ62" s="3"/>
      <c r="AR62" s="3"/>
      <c r="AS62" s="3"/>
      <c r="AT62" s="3"/>
      <c r="AU62" s="18"/>
    </row>
    <row r="63" spans="1:48" ht="14.25" customHeight="1" x14ac:dyDescent="0.25">
      <c r="A63" s="3" t="str">
        <f t="shared" si="42"/>
        <v>PE5103</v>
      </c>
      <c r="B63" s="34"/>
      <c r="C63" s="34"/>
      <c r="D63" s="36" t="s">
        <v>167</v>
      </c>
      <c r="E63" s="40" t="s">
        <v>321</v>
      </c>
      <c r="F63" s="36" t="s">
        <v>36</v>
      </c>
      <c r="G63" s="36"/>
      <c r="H63" s="37" t="s">
        <v>573</v>
      </c>
      <c r="I63" s="3">
        <f t="shared" si="43"/>
        <v>24</v>
      </c>
      <c r="J63" s="2" t="s">
        <v>139</v>
      </c>
      <c r="K63" s="2" t="s">
        <v>168</v>
      </c>
      <c r="L63" s="34" t="e">
        <f t="shared" si="40"/>
        <v>#REF!</v>
      </c>
      <c r="M63" s="34" t="e">
        <f t="shared" si="41"/>
        <v>#REF!</v>
      </c>
      <c r="N63" s="2" t="s">
        <v>160</v>
      </c>
      <c r="O63" s="37" t="s">
        <v>169</v>
      </c>
      <c r="P63" s="37">
        <v>1079712</v>
      </c>
      <c r="Q63" s="38" t="s">
        <v>170</v>
      </c>
      <c r="R63" s="34"/>
      <c r="S63" s="34"/>
      <c r="T63" s="41"/>
      <c r="U63" s="3">
        <v>1</v>
      </c>
      <c r="V63" s="3"/>
      <c r="W63" s="3"/>
      <c r="X63" s="3"/>
      <c r="Y63" s="3"/>
      <c r="Z63" s="3"/>
      <c r="AA63" s="3"/>
      <c r="AB63" s="41"/>
      <c r="AC63" s="3"/>
      <c r="AD63" s="3"/>
      <c r="AE63" s="3"/>
      <c r="AF63" s="3"/>
      <c r="AG63" s="34"/>
      <c r="AH63" s="37"/>
      <c r="AI63" s="34"/>
      <c r="AJ63" s="34"/>
      <c r="AK63" s="34"/>
      <c r="AL63" s="34"/>
      <c r="AM63" s="34"/>
      <c r="AN63" s="3"/>
      <c r="AO63" s="3"/>
      <c r="AP63" s="34"/>
      <c r="AQ63" s="3"/>
      <c r="AR63" s="3"/>
      <c r="AS63" s="3"/>
      <c r="AT63" s="3"/>
      <c r="AU63" s="18"/>
    </row>
    <row r="64" spans="1:48" ht="14.25" customHeight="1" x14ac:dyDescent="0.25">
      <c r="A64" s="3" t="str">
        <f t="shared" si="42"/>
        <v>PE5104</v>
      </c>
      <c r="B64" s="34"/>
      <c r="C64" s="34"/>
      <c r="D64" s="36" t="s">
        <v>167</v>
      </c>
      <c r="E64" s="40" t="s">
        <v>321</v>
      </c>
      <c r="F64" s="36" t="s">
        <v>38</v>
      </c>
      <c r="G64" s="36"/>
      <c r="H64" s="37" t="s">
        <v>644</v>
      </c>
      <c r="I64" s="3">
        <f t="shared" si="43"/>
        <v>46</v>
      </c>
      <c r="J64" s="2" t="s">
        <v>139</v>
      </c>
      <c r="K64" s="2" t="s">
        <v>168</v>
      </c>
      <c r="L64" s="34" t="e">
        <f t="shared" si="40"/>
        <v>#REF!</v>
      </c>
      <c r="M64" s="34" t="e">
        <f t="shared" si="41"/>
        <v>#REF!</v>
      </c>
      <c r="N64" s="2" t="s">
        <v>160</v>
      </c>
      <c r="O64" s="37" t="s">
        <v>169</v>
      </c>
      <c r="P64" s="37">
        <v>1079712</v>
      </c>
      <c r="Q64" s="38" t="s">
        <v>170</v>
      </c>
      <c r="R64" s="34"/>
      <c r="S64" s="34"/>
      <c r="T64" s="41"/>
      <c r="U64" s="3">
        <v>1</v>
      </c>
      <c r="V64" s="3"/>
      <c r="W64" s="3"/>
      <c r="X64" s="3"/>
      <c r="Y64" s="3"/>
      <c r="Z64" s="3"/>
      <c r="AA64" s="3"/>
      <c r="AB64" s="41"/>
      <c r="AC64" s="3"/>
      <c r="AD64" s="3"/>
      <c r="AE64" s="3"/>
      <c r="AF64" s="3"/>
      <c r="AG64" s="34"/>
      <c r="AH64" s="37"/>
      <c r="AI64" s="34"/>
      <c r="AJ64" s="34"/>
      <c r="AK64" s="34"/>
      <c r="AL64" s="34"/>
      <c r="AM64" s="34"/>
      <c r="AN64" s="3"/>
      <c r="AO64" s="3"/>
      <c r="AP64" s="34"/>
      <c r="AQ64" s="3"/>
      <c r="AR64" s="3"/>
      <c r="AS64" s="3"/>
      <c r="AT64" s="3"/>
      <c r="AU64" s="18"/>
    </row>
    <row r="65" spans="1:47" ht="14.25" hidden="1" customHeight="1" x14ac:dyDescent="0.25">
      <c r="A65" s="3" t="str">
        <f t="shared" si="42"/>
        <v>CY5101</v>
      </c>
      <c r="B65" s="34"/>
      <c r="C65" s="34"/>
      <c r="D65" s="36" t="s">
        <v>174</v>
      </c>
      <c r="E65" s="40" t="s">
        <v>321</v>
      </c>
      <c r="F65" s="36" t="s">
        <v>32</v>
      </c>
      <c r="G65" s="36"/>
      <c r="H65" s="37" t="s">
        <v>574</v>
      </c>
      <c r="I65" s="3">
        <f t="shared" si="43"/>
        <v>10</v>
      </c>
      <c r="J65" s="3" t="s">
        <v>180</v>
      </c>
      <c r="K65" s="3" t="s">
        <v>181</v>
      </c>
      <c r="L65" s="34" t="e">
        <f t="shared" si="40"/>
        <v>#REF!</v>
      </c>
      <c r="M65" s="34" t="e">
        <f t="shared" si="41"/>
        <v>#REF!</v>
      </c>
      <c r="N65" s="37" t="s">
        <v>152</v>
      </c>
      <c r="O65" s="37"/>
      <c r="P65" s="37"/>
      <c r="Q65" s="3"/>
      <c r="R65" s="34"/>
      <c r="S65" s="34"/>
      <c r="T65" s="3">
        <v>2</v>
      </c>
      <c r="U65" s="3">
        <v>2</v>
      </c>
      <c r="V65" s="3"/>
      <c r="W65" s="3"/>
      <c r="X65" s="3"/>
      <c r="Y65" s="3"/>
      <c r="Z65" s="3"/>
      <c r="AA65" s="3"/>
      <c r="AB65" s="41"/>
      <c r="AC65" s="3"/>
      <c r="AD65" s="3"/>
      <c r="AE65" s="3"/>
      <c r="AF65" s="3"/>
      <c r="AG65" s="34"/>
      <c r="AH65" s="37"/>
      <c r="AI65" s="34"/>
      <c r="AJ65" s="34"/>
      <c r="AK65" s="34"/>
      <c r="AL65" s="34"/>
      <c r="AM65" s="34"/>
      <c r="AN65" s="3"/>
      <c r="AO65" s="3"/>
      <c r="AP65" s="34"/>
      <c r="AQ65" s="3"/>
      <c r="AR65" s="3"/>
      <c r="AS65" s="3"/>
      <c r="AT65" s="3"/>
      <c r="AU65" s="18"/>
    </row>
    <row r="66" spans="1:47" ht="14.25" hidden="1" customHeight="1" x14ac:dyDescent="0.25">
      <c r="A66" s="130" t="str">
        <f t="shared" si="42"/>
        <v>GT5101</v>
      </c>
      <c r="B66" s="34"/>
      <c r="C66" s="34"/>
      <c r="D66" s="128" t="s">
        <v>242</v>
      </c>
      <c r="E66" s="129" t="s">
        <v>321</v>
      </c>
      <c r="F66" s="128" t="s">
        <v>32</v>
      </c>
      <c r="G66" s="36"/>
      <c r="H66" s="124" t="s">
        <v>637</v>
      </c>
      <c r="I66" s="130">
        <f t="shared" si="43"/>
        <v>16</v>
      </c>
      <c r="J66" s="3"/>
      <c r="K66" s="3"/>
      <c r="L66" s="34"/>
      <c r="M66" s="34"/>
      <c r="N66" s="37"/>
      <c r="O66" s="37"/>
      <c r="P66" s="37"/>
      <c r="Q66" s="3"/>
      <c r="R66" s="34"/>
      <c r="S66" s="34"/>
      <c r="T66" s="3"/>
      <c r="U66" s="3"/>
      <c r="V66" s="3"/>
      <c r="W66" s="3"/>
      <c r="X66" s="3"/>
      <c r="Y66" s="3"/>
      <c r="Z66" s="3"/>
      <c r="AA66" s="3"/>
      <c r="AB66" s="41"/>
      <c r="AC66" s="3"/>
      <c r="AD66" s="3"/>
      <c r="AE66" s="3"/>
      <c r="AF66" s="3"/>
      <c r="AG66" s="34"/>
      <c r="AH66" s="37"/>
      <c r="AI66" s="34"/>
      <c r="AJ66" s="34"/>
      <c r="AK66" s="34"/>
      <c r="AL66" s="34"/>
      <c r="AM66" s="34"/>
      <c r="AN66" s="3"/>
      <c r="AO66" s="3"/>
      <c r="AP66" s="34"/>
      <c r="AQ66" s="3"/>
      <c r="AR66" s="3"/>
      <c r="AS66" s="3"/>
      <c r="AT66" s="3"/>
      <c r="AU66" s="18"/>
    </row>
    <row r="67" spans="1:47" ht="14.25" customHeight="1" x14ac:dyDescent="0.25">
      <c r="A67" s="43"/>
      <c r="B67" s="43"/>
      <c r="C67" s="44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6"/>
      <c r="P67" s="46"/>
      <c r="Q67" s="45"/>
      <c r="R67" s="45"/>
      <c r="S67" s="45"/>
      <c r="T67" s="45">
        <f t="shared" ref="T67:AE67" si="44">SUM(T4:T66)</f>
        <v>12</v>
      </c>
      <c r="U67" s="45">
        <f t="shared" si="44"/>
        <v>15</v>
      </c>
      <c r="V67" s="45">
        <f t="shared" si="44"/>
        <v>0</v>
      </c>
      <c r="W67" s="45">
        <f t="shared" si="44"/>
        <v>0</v>
      </c>
      <c r="X67" s="45">
        <f t="shared" si="44"/>
        <v>0</v>
      </c>
      <c r="Y67" s="45">
        <f t="shared" si="44"/>
        <v>0</v>
      </c>
      <c r="Z67" s="45">
        <f t="shared" si="44"/>
        <v>0</v>
      </c>
      <c r="AA67" s="45">
        <f t="shared" si="44"/>
        <v>0</v>
      </c>
      <c r="AB67" s="45">
        <f t="shared" si="44"/>
        <v>0</v>
      </c>
      <c r="AC67" s="45">
        <f t="shared" si="44"/>
        <v>0</v>
      </c>
      <c r="AD67" s="45">
        <f t="shared" si="44"/>
        <v>4</v>
      </c>
      <c r="AE67" s="45">
        <f t="shared" si="44"/>
        <v>20</v>
      </c>
      <c r="AF67" s="45"/>
      <c r="AN67" s="3"/>
      <c r="AO67" s="3"/>
    </row>
    <row r="68" spans="1:47" ht="14.25" customHeight="1" x14ac:dyDescent="0.25">
      <c r="A68" s="37"/>
      <c r="B68" s="37"/>
      <c r="C68" s="42"/>
      <c r="E68" s="3"/>
      <c r="I68" s="3" t="s">
        <v>109</v>
      </c>
      <c r="L68" s="34"/>
      <c r="M68" s="34"/>
      <c r="O68" s="18"/>
      <c r="P68" s="18"/>
      <c r="T68" s="2" t="s">
        <v>98</v>
      </c>
      <c r="U68" s="3" t="s">
        <v>99</v>
      </c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N68" s="3"/>
      <c r="AO68" s="3"/>
    </row>
    <row r="69" spans="1:47" ht="14.25" customHeight="1" x14ac:dyDescent="0.25">
      <c r="A69" s="37"/>
      <c r="B69" s="37"/>
      <c r="C69" s="42"/>
      <c r="E69" s="3"/>
      <c r="L69" s="34"/>
      <c r="M69" s="34"/>
      <c r="O69" s="18"/>
      <c r="P69" s="18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N69" s="3"/>
      <c r="AO69" s="3"/>
    </row>
    <row r="70" spans="1:47" ht="14.25" customHeight="1" x14ac:dyDescent="0.25">
      <c r="A70" s="37"/>
      <c r="B70" s="37"/>
      <c r="C70" s="42"/>
      <c r="E70" s="3"/>
      <c r="L70" s="34"/>
      <c r="M70" s="34"/>
      <c r="O70" s="18"/>
      <c r="P70" s="18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N70" s="3"/>
      <c r="AO70" s="3"/>
    </row>
    <row r="71" spans="1:47" ht="14.25" customHeight="1" x14ac:dyDescent="0.25">
      <c r="A71" s="37"/>
      <c r="B71" s="37"/>
      <c r="C71" s="42"/>
      <c r="E71" s="3"/>
      <c r="H71" s="134"/>
      <c r="I71" s="134"/>
      <c r="L71" s="34"/>
      <c r="M71" s="34"/>
      <c r="N71" s="134"/>
      <c r="O71" s="18"/>
      <c r="P71" s="18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N71" s="3"/>
      <c r="AO71" s="3"/>
    </row>
    <row r="72" spans="1:47" ht="14.25" customHeight="1" x14ac:dyDescent="0.25">
      <c r="A72" s="37"/>
      <c r="B72" s="37"/>
      <c r="C72" s="42"/>
      <c r="E72" s="3"/>
      <c r="L72" s="34"/>
      <c r="M72" s="34"/>
      <c r="O72" s="18"/>
      <c r="P72" s="18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N72" s="3"/>
      <c r="AO72" s="3"/>
    </row>
    <row r="73" spans="1:47" ht="14.25" customHeight="1" x14ac:dyDescent="0.25">
      <c r="A73" s="37"/>
      <c r="B73" s="37"/>
      <c r="C73" s="42"/>
      <c r="E73" s="3"/>
      <c r="L73" s="34"/>
      <c r="M73" s="34"/>
      <c r="O73" s="18"/>
      <c r="P73" s="18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N73" s="3"/>
      <c r="AO73" s="3"/>
    </row>
    <row r="74" spans="1:47" ht="14.25" customHeight="1" x14ac:dyDescent="0.25">
      <c r="A74" s="37"/>
      <c r="B74" s="37"/>
      <c r="C74" s="42"/>
      <c r="E74" s="3"/>
      <c r="L74" s="34"/>
      <c r="M74" s="34"/>
      <c r="O74" s="18"/>
      <c r="P74" s="18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N74" s="3"/>
      <c r="AO74" s="3"/>
    </row>
    <row r="75" spans="1:47" ht="14.25" customHeight="1" x14ac:dyDescent="0.25">
      <c r="A75" s="37"/>
      <c r="B75" s="37"/>
      <c r="C75" s="42"/>
      <c r="E75" s="3"/>
      <c r="L75" s="34"/>
      <c r="M75" s="34"/>
      <c r="O75" s="18"/>
      <c r="P75" s="18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N75" s="3"/>
      <c r="AO75" s="3"/>
    </row>
    <row r="76" spans="1:47" ht="14.25" customHeight="1" x14ac:dyDescent="0.25">
      <c r="A76" s="37"/>
      <c r="B76" s="37"/>
      <c r="C76" s="42"/>
      <c r="E76" s="3"/>
      <c r="L76" s="34"/>
      <c r="M76" s="34"/>
      <c r="O76" s="18"/>
      <c r="P76" s="18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N76" s="3"/>
      <c r="AO76" s="3"/>
    </row>
    <row r="77" spans="1:47" ht="14.25" customHeight="1" x14ac:dyDescent="0.25">
      <c r="A77" s="37"/>
      <c r="B77" s="37"/>
      <c r="C77" s="42"/>
      <c r="E77" s="3"/>
      <c r="L77" s="34"/>
      <c r="M77" s="34"/>
      <c r="O77" s="18"/>
      <c r="P77" s="18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N77" s="3"/>
      <c r="AO77" s="3"/>
    </row>
    <row r="78" spans="1:47" ht="14.25" customHeight="1" x14ac:dyDescent="0.25">
      <c r="A78" s="3"/>
      <c r="B78" s="40"/>
      <c r="C78" s="42"/>
      <c r="E78" s="3"/>
      <c r="L78" s="34"/>
      <c r="M78" s="34"/>
      <c r="O78" s="18"/>
      <c r="P78" s="18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N78" s="3"/>
      <c r="AO78" s="3"/>
    </row>
    <row r="79" spans="1:47" ht="14.25" customHeight="1" x14ac:dyDescent="0.25">
      <c r="A79" s="3"/>
      <c r="B79" s="40"/>
      <c r="C79" s="42"/>
      <c r="E79" s="3"/>
      <c r="L79" s="34"/>
      <c r="M79" s="34"/>
      <c r="O79" s="18"/>
      <c r="P79" s="18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N79" s="3"/>
      <c r="AO79" s="3"/>
    </row>
    <row r="80" spans="1:47" ht="14.25" customHeight="1" x14ac:dyDescent="0.25">
      <c r="A80" s="3"/>
      <c r="B80" s="40"/>
      <c r="C80" s="42"/>
      <c r="E80" s="3"/>
      <c r="L80" s="34"/>
      <c r="M80" s="34"/>
      <c r="O80" s="18"/>
      <c r="P80" s="18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N80" s="3"/>
      <c r="AO80" s="3"/>
    </row>
    <row r="81" spans="1:41" ht="14.25" customHeight="1" x14ac:dyDescent="0.25">
      <c r="A81" s="3"/>
      <c r="B81" s="40"/>
      <c r="C81" s="42"/>
      <c r="E81" s="3"/>
      <c r="L81" s="34"/>
      <c r="M81" s="34"/>
      <c r="O81" s="18"/>
      <c r="P81" s="18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N81" s="3"/>
      <c r="AO81" s="3"/>
    </row>
    <row r="82" spans="1:41" ht="14.25" customHeight="1" x14ac:dyDescent="0.25">
      <c r="A82" s="3"/>
      <c r="B82" s="40"/>
      <c r="C82" s="42"/>
      <c r="E82" s="3"/>
      <c r="L82" s="34"/>
      <c r="M82" s="34"/>
      <c r="O82" s="18"/>
      <c r="P82" s="18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N82" s="3"/>
      <c r="AO82" s="3"/>
    </row>
    <row r="83" spans="1:41" ht="14.25" customHeight="1" x14ac:dyDescent="0.25">
      <c r="A83" s="3"/>
      <c r="B83" s="40"/>
      <c r="C83" s="42"/>
      <c r="E83" s="3"/>
      <c r="L83" s="34"/>
      <c r="M83" s="34"/>
      <c r="O83" s="18"/>
      <c r="P83" s="18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N83" s="3"/>
      <c r="AO83" s="3"/>
    </row>
    <row r="84" spans="1:41" ht="14.25" customHeight="1" x14ac:dyDescent="0.25">
      <c r="A84" s="3"/>
      <c r="B84" s="40"/>
      <c r="C84" s="42"/>
      <c r="E84" s="3"/>
      <c r="L84" s="34"/>
      <c r="M84" s="34"/>
      <c r="O84" s="18"/>
      <c r="P84" s="18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N84" s="3"/>
      <c r="AO84" s="3"/>
    </row>
    <row r="85" spans="1:41" ht="14.25" customHeight="1" x14ac:dyDescent="0.25">
      <c r="A85" s="3"/>
      <c r="B85" s="40"/>
      <c r="C85" s="42"/>
      <c r="E85" s="3"/>
      <c r="L85" s="34"/>
      <c r="M85" s="34"/>
      <c r="O85" s="18"/>
      <c r="P85" s="18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N85" s="3"/>
      <c r="AO85" s="3"/>
    </row>
    <row r="86" spans="1:41" ht="14.25" customHeight="1" x14ac:dyDescent="0.25">
      <c r="A86" s="3"/>
      <c r="B86" s="40"/>
      <c r="C86" s="42"/>
      <c r="E86" s="3"/>
      <c r="L86" s="34"/>
      <c r="M86" s="34"/>
      <c r="O86" s="18"/>
      <c r="P86" s="18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N86" s="3"/>
      <c r="AO86" s="3"/>
    </row>
    <row r="87" spans="1:41" ht="14.25" customHeight="1" x14ac:dyDescent="0.25">
      <c r="A87" s="3"/>
      <c r="B87" s="40"/>
      <c r="C87" s="42"/>
      <c r="E87" s="3"/>
      <c r="L87" s="34"/>
      <c r="M87" s="34"/>
      <c r="O87" s="18"/>
      <c r="P87" s="18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N87" s="3"/>
      <c r="AO87" s="3"/>
    </row>
    <row r="88" spans="1:41" ht="14.25" customHeight="1" x14ac:dyDescent="0.25">
      <c r="A88" s="3"/>
      <c r="B88" s="40"/>
      <c r="C88" s="42"/>
      <c r="E88" s="3"/>
      <c r="L88" s="34"/>
      <c r="M88" s="34"/>
      <c r="O88" s="18"/>
      <c r="P88" s="18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N88" s="3"/>
      <c r="AO88" s="3"/>
    </row>
    <row r="89" spans="1:41" ht="14.25" customHeight="1" x14ac:dyDescent="0.25">
      <c r="A89" s="3"/>
      <c r="B89" s="40"/>
      <c r="C89" s="42"/>
      <c r="E89" s="3"/>
      <c r="L89" s="34"/>
      <c r="M89" s="34"/>
      <c r="O89" s="18"/>
      <c r="P89" s="18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N89" s="3"/>
      <c r="AO89" s="3"/>
    </row>
    <row r="90" spans="1:41" ht="14.25" customHeight="1" x14ac:dyDescent="0.25">
      <c r="A90" s="3"/>
      <c r="B90" s="40"/>
      <c r="C90" s="42"/>
      <c r="E90" s="3"/>
      <c r="L90" s="34"/>
      <c r="M90" s="34"/>
      <c r="O90" s="18"/>
      <c r="P90" s="18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N90" s="3"/>
      <c r="AO90" s="3"/>
    </row>
    <row r="91" spans="1:41" ht="14.25" customHeight="1" x14ac:dyDescent="0.25">
      <c r="A91" s="3"/>
      <c r="B91" s="40"/>
      <c r="C91" s="42"/>
      <c r="E91" s="3"/>
      <c r="L91" s="34"/>
      <c r="M91" s="34"/>
      <c r="O91" s="18"/>
      <c r="P91" s="18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N91" s="3"/>
      <c r="AO91" s="3"/>
    </row>
    <row r="92" spans="1:41" ht="14.25" customHeight="1" x14ac:dyDescent="0.25">
      <c r="A92" s="3"/>
      <c r="B92" s="40"/>
      <c r="C92" s="42"/>
      <c r="E92" s="3"/>
      <c r="L92" s="34"/>
      <c r="M92" s="34"/>
      <c r="O92" s="18"/>
      <c r="P92" s="18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N92" s="3"/>
      <c r="AO92" s="3"/>
    </row>
    <row r="93" spans="1:41" ht="14.25" customHeight="1" x14ac:dyDescent="0.25">
      <c r="A93" s="3"/>
      <c r="B93" s="40"/>
      <c r="C93" s="42"/>
      <c r="E93" s="3"/>
      <c r="L93" s="34"/>
      <c r="M93" s="34"/>
      <c r="O93" s="18"/>
      <c r="P93" s="18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N93" s="3"/>
      <c r="AO93" s="3"/>
    </row>
    <row r="94" spans="1:41" ht="14.25" customHeight="1" x14ac:dyDescent="0.25">
      <c r="A94" s="3"/>
      <c r="B94" s="40"/>
      <c r="C94" s="42"/>
      <c r="E94" s="3"/>
      <c r="L94" s="34"/>
      <c r="M94" s="34"/>
      <c r="O94" s="18"/>
      <c r="P94" s="18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N94" s="3"/>
      <c r="AO94" s="3"/>
    </row>
    <row r="95" spans="1:41" ht="14.25" customHeight="1" x14ac:dyDescent="0.25">
      <c r="A95" s="3"/>
      <c r="B95" s="40"/>
      <c r="C95" s="42"/>
      <c r="E95" s="3"/>
      <c r="L95" s="34"/>
      <c r="M95" s="34"/>
      <c r="O95" s="18"/>
      <c r="P95" s="18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N95" s="3"/>
      <c r="AO95" s="3"/>
    </row>
    <row r="96" spans="1:41" ht="14.25" customHeight="1" x14ac:dyDescent="0.25">
      <c r="A96" s="3"/>
      <c r="B96" s="40"/>
      <c r="C96" s="42"/>
      <c r="E96" s="3"/>
      <c r="L96" s="34"/>
      <c r="M96" s="34"/>
      <c r="O96" s="18"/>
      <c r="P96" s="18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N96" s="3"/>
      <c r="AO96" s="3"/>
    </row>
    <row r="97" spans="1:41" ht="14.25" customHeight="1" x14ac:dyDescent="0.25">
      <c r="A97" s="3"/>
      <c r="B97" s="40"/>
      <c r="C97" s="42"/>
      <c r="E97" s="3"/>
      <c r="L97" s="34"/>
      <c r="M97" s="34"/>
      <c r="O97" s="18"/>
      <c r="P97" s="18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N97" s="3"/>
      <c r="AO97" s="3"/>
    </row>
    <row r="98" spans="1:41" ht="14.25" customHeight="1" x14ac:dyDescent="0.25">
      <c r="A98" s="3"/>
      <c r="B98" s="40"/>
      <c r="C98" s="42"/>
      <c r="E98" s="3"/>
      <c r="L98" s="34"/>
      <c r="M98" s="34"/>
      <c r="O98" s="18"/>
      <c r="P98" s="18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N98" s="3"/>
      <c r="AO98" s="3"/>
    </row>
    <row r="99" spans="1:41" ht="14.25" customHeight="1" x14ac:dyDescent="0.25">
      <c r="A99" s="3"/>
      <c r="B99" s="40"/>
      <c r="C99" s="42"/>
      <c r="E99" s="3"/>
      <c r="L99" s="34"/>
      <c r="M99" s="34"/>
      <c r="O99" s="18"/>
      <c r="P99" s="18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N99" s="3"/>
      <c r="AO99" s="3"/>
    </row>
    <row r="100" spans="1:41" ht="14.25" customHeight="1" x14ac:dyDescent="0.25">
      <c r="A100" s="3"/>
      <c r="B100" s="40"/>
      <c r="C100" s="42"/>
      <c r="E100" s="3"/>
      <c r="L100" s="34"/>
      <c r="M100" s="34"/>
      <c r="O100" s="18"/>
      <c r="P100" s="18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N100" s="3"/>
      <c r="AO100" s="3"/>
    </row>
    <row r="101" spans="1:41" ht="14.25" customHeight="1" x14ac:dyDescent="0.25">
      <c r="A101" s="3"/>
      <c r="B101" s="40"/>
      <c r="C101" s="42"/>
      <c r="E101" s="3"/>
      <c r="L101" s="34"/>
      <c r="M101" s="34"/>
      <c r="O101" s="18"/>
      <c r="P101" s="18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N101" s="3"/>
      <c r="AO101" s="3"/>
    </row>
    <row r="102" spans="1:41" ht="14.25" customHeight="1" x14ac:dyDescent="0.25">
      <c r="A102" s="3"/>
      <c r="B102" s="40"/>
      <c r="C102" s="42"/>
      <c r="E102" s="3"/>
      <c r="L102" s="34"/>
      <c r="M102" s="34"/>
      <c r="O102" s="18"/>
      <c r="P102" s="18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N102" s="3"/>
      <c r="AO102" s="3"/>
    </row>
    <row r="103" spans="1:41" ht="14.25" customHeight="1" x14ac:dyDescent="0.25">
      <c r="A103" s="3"/>
      <c r="B103" s="40"/>
      <c r="C103" s="42"/>
      <c r="E103" s="3"/>
      <c r="L103" s="34"/>
      <c r="M103" s="34"/>
      <c r="O103" s="18"/>
      <c r="P103" s="18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N103" s="3"/>
      <c r="AO103" s="3"/>
    </row>
    <row r="104" spans="1:41" ht="14.25" customHeight="1" x14ac:dyDescent="0.25">
      <c r="A104" s="3"/>
      <c r="B104" s="40"/>
      <c r="C104" s="42"/>
      <c r="E104" s="3"/>
      <c r="L104" s="34"/>
      <c r="M104" s="34"/>
      <c r="O104" s="18"/>
      <c r="P104" s="18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N104" s="3"/>
      <c r="AO104" s="3"/>
    </row>
    <row r="105" spans="1:41" ht="14.25" customHeight="1" x14ac:dyDescent="0.25">
      <c r="A105" s="3"/>
      <c r="B105" s="40"/>
      <c r="C105" s="42"/>
      <c r="E105" s="3"/>
      <c r="L105" s="34"/>
      <c r="M105" s="34"/>
      <c r="O105" s="18"/>
      <c r="P105" s="18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N105" s="3"/>
      <c r="AO105" s="3"/>
    </row>
    <row r="106" spans="1:41" ht="14.25" customHeight="1" x14ac:dyDescent="0.25">
      <c r="A106" s="3"/>
      <c r="B106" s="40"/>
      <c r="C106" s="42"/>
      <c r="E106" s="3"/>
      <c r="L106" s="34"/>
      <c r="M106" s="34"/>
      <c r="O106" s="18"/>
      <c r="P106" s="18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N106" s="3"/>
      <c r="AO106" s="3"/>
    </row>
    <row r="107" spans="1:41" ht="14.25" customHeight="1" x14ac:dyDescent="0.25">
      <c r="A107" s="3"/>
      <c r="B107" s="40"/>
      <c r="C107" s="42"/>
      <c r="E107" s="3"/>
      <c r="L107" s="34"/>
      <c r="M107" s="34"/>
      <c r="O107" s="18"/>
      <c r="P107" s="18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N107" s="3"/>
      <c r="AO107" s="3"/>
    </row>
    <row r="108" spans="1:41" ht="14.25" customHeight="1" x14ac:dyDescent="0.25">
      <c r="A108" s="3"/>
      <c r="B108" s="40"/>
      <c r="C108" s="42"/>
      <c r="E108" s="3"/>
      <c r="L108" s="34"/>
      <c r="M108" s="34"/>
      <c r="O108" s="18"/>
      <c r="P108" s="18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N108" s="3"/>
      <c r="AO108" s="3"/>
    </row>
    <row r="109" spans="1:41" ht="14.25" customHeight="1" x14ac:dyDescent="0.25">
      <c r="A109" s="3"/>
      <c r="B109" s="40"/>
      <c r="C109" s="42"/>
      <c r="E109" s="3"/>
      <c r="L109" s="34"/>
      <c r="M109" s="34"/>
      <c r="O109" s="18"/>
      <c r="P109" s="18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N109" s="3"/>
      <c r="AO109" s="3"/>
    </row>
    <row r="110" spans="1:41" ht="14.25" customHeight="1" x14ac:dyDescent="0.25">
      <c r="A110" s="3"/>
      <c r="B110" s="40"/>
      <c r="C110" s="42"/>
      <c r="E110" s="3"/>
      <c r="L110" s="34"/>
      <c r="M110" s="34"/>
      <c r="O110" s="18"/>
      <c r="P110" s="18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N110" s="3"/>
      <c r="AO110" s="3"/>
    </row>
    <row r="111" spans="1:41" ht="14.25" customHeight="1" x14ac:dyDescent="0.25">
      <c r="A111" s="3"/>
      <c r="B111" s="40"/>
      <c r="C111" s="42"/>
      <c r="E111" s="3"/>
      <c r="L111" s="34"/>
      <c r="M111" s="34"/>
      <c r="O111" s="18"/>
      <c r="P111" s="18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N111" s="3"/>
      <c r="AO111" s="3"/>
    </row>
    <row r="112" spans="1:41" ht="14.25" customHeight="1" x14ac:dyDescent="0.25">
      <c r="A112" s="3"/>
      <c r="B112" s="40"/>
      <c r="C112" s="42"/>
      <c r="E112" s="3"/>
      <c r="L112" s="34"/>
      <c r="M112" s="34"/>
      <c r="O112" s="18"/>
      <c r="P112" s="18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N112" s="3"/>
      <c r="AO112" s="3"/>
    </row>
    <row r="113" spans="1:41" ht="14.25" customHeight="1" x14ac:dyDescent="0.25">
      <c r="A113" s="3"/>
      <c r="B113" s="40"/>
      <c r="C113" s="42"/>
      <c r="E113" s="3"/>
      <c r="L113" s="34"/>
      <c r="M113" s="34"/>
      <c r="O113" s="18"/>
      <c r="P113" s="18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N113" s="3"/>
      <c r="AO113" s="3"/>
    </row>
    <row r="114" spans="1:41" ht="14.25" customHeight="1" x14ac:dyDescent="0.25">
      <c r="A114" s="3"/>
      <c r="B114" s="40"/>
      <c r="C114" s="42"/>
      <c r="E114" s="3"/>
      <c r="L114" s="34"/>
      <c r="M114" s="34"/>
      <c r="O114" s="18"/>
      <c r="P114" s="18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N114" s="3"/>
      <c r="AO114" s="3"/>
    </row>
    <row r="115" spans="1:41" ht="14.25" customHeight="1" x14ac:dyDescent="0.25">
      <c r="A115" s="3"/>
      <c r="B115" s="40"/>
      <c r="C115" s="42"/>
      <c r="E115" s="3"/>
      <c r="L115" s="34"/>
      <c r="M115" s="34"/>
      <c r="O115" s="18"/>
      <c r="P115" s="18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N115" s="3"/>
      <c r="AO115" s="3"/>
    </row>
    <row r="116" spans="1:41" ht="14.25" customHeight="1" x14ac:dyDescent="0.25">
      <c r="A116" s="3"/>
      <c r="B116" s="40"/>
      <c r="C116" s="42"/>
      <c r="E116" s="3"/>
      <c r="L116" s="34"/>
      <c r="M116" s="34"/>
      <c r="O116" s="18"/>
      <c r="P116" s="18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N116" s="3"/>
      <c r="AO116" s="3"/>
    </row>
    <row r="117" spans="1:41" ht="14.25" customHeight="1" x14ac:dyDescent="0.25">
      <c r="A117" s="3"/>
      <c r="B117" s="40"/>
      <c r="C117" s="42"/>
      <c r="E117" s="3"/>
      <c r="L117" s="34"/>
      <c r="M117" s="34"/>
      <c r="O117" s="18"/>
      <c r="P117" s="18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N117" s="3"/>
      <c r="AO117" s="3"/>
    </row>
    <row r="118" spans="1:41" ht="14.25" customHeight="1" x14ac:dyDescent="0.25">
      <c r="A118" s="3"/>
      <c r="B118" s="40"/>
      <c r="C118" s="42"/>
      <c r="E118" s="3"/>
      <c r="L118" s="34"/>
      <c r="M118" s="34"/>
      <c r="O118" s="18"/>
      <c r="P118" s="18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N118" s="3"/>
      <c r="AO118" s="3"/>
    </row>
    <row r="119" spans="1:41" ht="14.25" customHeight="1" x14ac:dyDescent="0.25">
      <c r="A119" s="3"/>
      <c r="B119" s="40"/>
      <c r="C119" s="42"/>
      <c r="E119" s="3"/>
      <c r="L119" s="34"/>
      <c r="M119" s="34"/>
      <c r="O119" s="18"/>
      <c r="P119" s="18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N119" s="3"/>
      <c r="AO119" s="3"/>
    </row>
    <row r="120" spans="1:41" ht="14.25" customHeight="1" x14ac:dyDescent="0.25">
      <c r="A120" s="3"/>
      <c r="B120" s="40"/>
      <c r="C120" s="42"/>
      <c r="E120" s="3"/>
      <c r="L120" s="34"/>
      <c r="M120" s="34"/>
      <c r="O120" s="18"/>
      <c r="P120" s="18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N120" s="3"/>
      <c r="AO120" s="3"/>
    </row>
    <row r="121" spans="1:41" ht="14.25" customHeight="1" x14ac:dyDescent="0.25">
      <c r="A121" s="3"/>
      <c r="B121" s="40"/>
      <c r="C121" s="42"/>
      <c r="E121" s="3"/>
      <c r="L121" s="34"/>
      <c r="M121" s="34"/>
      <c r="O121" s="18"/>
      <c r="P121" s="18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N121" s="3"/>
      <c r="AO121" s="3"/>
    </row>
    <row r="122" spans="1:41" ht="14.25" customHeight="1" x14ac:dyDescent="0.25">
      <c r="A122" s="3"/>
      <c r="B122" s="40"/>
      <c r="C122" s="42"/>
      <c r="E122" s="3"/>
      <c r="L122" s="34"/>
      <c r="M122" s="34"/>
      <c r="O122" s="18"/>
      <c r="P122" s="18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N122" s="3"/>
      <c r="AO122" s="3"/>
    </row>
    <row r="123" spans="1:41" ht="14.25" customHeight="1" x14ac:dyDescent="0.25">
      <c r="A123" s="3"/>
      <c r="B123" s="40"/>
      <c r="C123" s="42"/>
      <c r="E123" s="3"/>
      <c r="L123" s="34"/>
      <c r="M123" s="34"/>
      <c r="O123" s="18"/>
      <c r="P123" s="18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N123" s="3"/>
      <c r="AO123" s="3"/>
    </row>
    <row r="124" spans="1:41" ht="14.25" customHeight="1" x14ac:dyDescent="0.25">
      <c r="A124" s="3"/>
      <c r="B124" s="40"/>
      <c r="C124" s="42"/>
      <c r="E124" s="3"/>
      <c r="L124" s="34"/>
      <c r="M124" s="34"/>
      <c r="O124" s="18"/>
      <c r="P124" s="18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N124" s="3"/>
      <c r="AO124" s="3"/>
    </row>
    <row r="125" spans="1:41" ht="14.25" customHeight="1" x14ac:dyDescent="0.25">
      <c r="A125" s="3"/>
      <c r="B125" s="40"/>
      <c r="C125" s="42"/>
      <c r="E125" s="3"/>
      <c r="L125" s="34"/>
      <c r="M125" s="34"/>
      <c r="O125" s="18"/>
      <c r="P125" s="18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N125" s="3"/>
      <c r="AO125" s="3"/>
    </row>
    <row r="126" spans="1:41" ht="14.25" customHeight="1" x14ac:dyDescent="0.25">
      <c r="A126" s="3"/>
      <c r="B126" s="40"/>
      <c r="C126" s="42"/>
      <c r="E126" s="3"/>
      <c r="L126" s="34"/>
      <c r="M126" s="34"/>
      <c r="O126" s="18"/>
      <c r="P126" s="18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N126" s="3"/>
      <c r="AO126" s="3"/>
    </row>
    <row r="127" spans="1:41" ht="14.25" customHeight="1" x14ac:dyDescent="0.25">
      <c r="A127" s="3"/>
      <c r="B127" s="40"/>
      <c r="C127" s="42"/>
      <c r="E127" s="3"/>
      <c r="L127" s="34"/>
      <c r="M127" s="34"/>
      <c r="O127" s="18"/>
      <c r="P127" s="18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N127" s="3"/>
      <c r="AO127" s="3"/>
    </row>
    <row r="128" spans="1:41" ht="14.25" customHeight="1" x14ac:dyDescent="0.25">
      <c r="A128" s="3"/>
      <c r="B128" s="40"/>
      <c r="C128" s="42"/>
      <c r="E128" s="3"/>
      <c r="L128" s="34"/>
      <c r="M128" s="34"/>
      <c r="O128" s="18"/>
      <c r="P128" s="18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N128" s="3"/>
      <c r="AO128" s="3"/>
    </row>
    <row r="129" spans="1:41" ht="14.25" customHeight="1" x14ac:dyDescent="0.25">
      <c r="A129" s="3"/>
      <c r="B129" s="40"/>
      <c r="C129" s="42"/>
      <c r="E129" s="3"/>
      <c r="L129" s="34"/>
      <c r="M129" s="34"/>
      <c r="O129" s="18"/>
      <c r="P129" s="18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N129" s="3"/>
      <c r="AO129" s="3"/>
    </row>
    <row r="130" spans="1:41" ht="14.25" customHeight="1" x14ac:dyDescent="0.25">
      <c r="A130" s="3"/>
      <c r="B130" s="40"/>
      <c r="C130" s="42"/>
      <c r="E130" s="3"/>
      <c r="L130" s="34"/>
      <c r="M130" s="34"/>
      <c r="O130" s="18"/>
      <c r="P130" s="18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N130" s="3"/>
      <c r="AO130" s="3"/>
    </row>
    <row r="131" spans="1:41" ht="14.25" customHeight="1" x14ac:dyDescent="0.25">
      <c r="A131" s="3"/>
      <c r="B131" s="40"/>
      <c r="C131" s="42"/>
      <c r="E131" s="3"/>
      <c r="L131" s="34"/>
      <c r="M131" s="34"/>
      <c r="O131" s="18"/>
      <c r="P131" s="18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N131" s="3"/>
      <c r="AO131" s="3"/>
    </row>
    <row r="132" spans="1:41" ht="14.25" customHeight="1" x14ac:dyDescent="0.25">
      <c r="A132" s="3"/>
      <c r="B132" s="40"/>
      <c r="C132" s="42"/>
      <c r="E132" s="3"/>
      <c r="L132" s="34"/>
      <c r="M132" s="34"/>
      <c r="O132" s="18"/>
      <c r="P132" s="18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N132" s="3"/>
      <c r="AO132" s="3"/>
    </row>
    <row r="133" spans="1:41" ht="14.25" customHeight="1" x14ac:dyDescent="0.25">
      <c r="A133" s="3"/>
      <c r="B133" s="40"/>
      <c r="C133" s="42"/>
      <c r="E133" s="3"/>
      <c r="L133" s="34"/>
      <c r="M133" s="34"/>
      <c r="O133" s="18"/>
      <c r="P133" s="18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N133" s="3"/>
      <c r="AO133" s="3"/>
    </row>
    <row r="134" spans="1:41" ht="14.25" customHeight="1" x14ac:dyDescent="0.25">
      <c r="A134" s="3"/>
      <c r="B134" s="40"/>
      <c r="C134" s="42"/>
      <c r="E134" s="3"/>
      <c r="L134" s="34"/>
      <c r="M134" s="34"/>
      <c r="O134" s="18"/>
      <c r="P134" s="18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N134" s="3"/>
      <c r="AO134" s="3"/>
    </row>
    <row r="135" spans="1:41" ht="14.25" customHeight="1" x14ac:dyDescent="0.25">
      <c r="A135" s="3"/>
      <c r="B135" s="40"/>
      <c r="C135" s="42"/>
      <c r="E135" s="3"/>
      <c r="L135" s="34"/>
      <c r="M135" s="34"/>
      <c r="O135" s="18"/>
      <c r="P135" s="18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N135" s="3"/>
      <c r="AO135" s="3"/>
    </row>
    <row r="136" spans="1:41" ht="14.25" customHeight="1" x14ac:dyDescent="0.25">
      <c r="A136" s="3"/>
      <c r="B136" s="40"/>
      <c r="C136" s="42"/>
      <c r="E136" s="3"/>
      <c r="L136" s="34"/>
      <c r="M136" s="34"/>
      <c r="O136" s="18"/>
      <c r="P136" s="18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N136" s="3"/>
      <c r="AO136" s="3"/>
    </row>
    <row r="137" spans="1:41" ht="14.25" customHeight="1" x14ac:dyDescent="0.25">
      <c r="A137" s="3"/>
      <c r="B137" s="40"/>
      <c r="C137" s="42"/>
      <c r="E137" s="3"/>
      <c r="L137" s="34"/>
      <c r="M137" s="34"/>
      <c r="O137" s="18"/>
      <c r="P137" s="18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N137" s="3"/>
      <c r="AO137" s="3"/>
    </row>
    <row r="138" spans="1:41" ht="14.25" customHeight="1" x14ac:dyDescent="0.25">
      <c r="A138" s="3"/>
      <c r="B138" s="40"/>
      <c r="C138" s="42"/>
      <c r="E138" s="3"/>
      <c r="L138" s="34"/>
      <c r="M138" s="34"/>
      <c r="O138" s="18"/>
      <c r="P138" s="18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N138" s="3"/>
      <c r="AO138" s="3"/>
    </row>
    <row r="139" spans="1:41" ht="14.25" customHeight="1" x14ac:dyDescent="0.25">
      <c r="A139" s="3"/>
      <c r="B139" s="40"/>
      <c r="C139" s="42"/>
      <c r="E139" s="3"/>
      <c r="L139" s="34"/>
      <c r="M139" s="34"/>
      <c r="O139" s="18"/>
      <c r="P139" s="18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N139" s="3"/>
      <c r="AO139" s="3"/>
    </row>
    <row r="140" spans="1:41" ht="14.25" customHeight="1" x14ac:dyDescent="0.25">
      <c r="A140" s="3"/>
      <c r="B140" s="40"/>
      <c r="C140" s="42"/>
      <c r="E140" s="3"/>
      <c r="L140" s="34"/>
      <c r="M140" s="34"/>
      <c r="O140" s="18"/>
      <c r="P140" s="18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N140" s="3"/>
      <c r="AO140" s="3"/>
    </row>
    <row r="141" spans="1:41" ht="14.25" customHeight="1" x14ac:dyDescent="0.25">
      <c r="A141" s="3"/>
      <c r="B141" s="40"/>
      <c r="C141" s="42"/>
      <c r="E141" s="3"/>
      <c r="L141" s="34"/>
      <c r="M141" s="34"/>
      <c r="O141" s="18"/>
      <c r="P141" s="18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N141" s="3"/>
      <c r="AO141" s="3"/>
    </row>
    <row r="142" spans="1:41" ht="14.25" customHeight="1" x14ac:dyDescent="0.25">
      <c r="A142" s="3"/>
      <c r="B142" s="40"/>
      <c r="C142" s="42"/>
      <c r="E142" s="3"/>
      <c r="L142" s="34"/>
      <c r="M142" s="34"/>
      <c r="O142" s="18"/>
      <c r="P142" s="18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N142" s="3"/>
      <c r="AO142" s="3"/>
    </row>
    <row r="143" spans="1:41" ht="14.25" customHeight="1" x14ac:dyDescent="0.25">
      <c r="A143" s="3"/>
      <c r="B143" s="40"/>
      <c r="C143" s="42"/>
      <c r="E143" s="3"/>
      <c r="L143" s="34"/>
      <c r="M143" s="34"/>
      <c r="O143" s="18"/>
      <c r="P143" s="18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N143" s="3"/>
      <c r="AO143" s="3"/>
    </row>
    <row r="144" spans="1:41" ht="14.25" customHeight="1" x14ac:dyDescent="0.25">
      <c r="A144" s="3"/>
      <c r="B144" s="40"/>
      <c r="C144" s="42"/>
      <c r="E144" s="3"/>
      <c r="L144" s="34"/>
      <c r="M144" s="34"/>
      <c r="O144" s="18"/>
      <c r="P144" s="18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N144" s="3"/>
      <c r="AO144" s="3"/>
    </row>
    <row r="145" spans="1:41" ht="14.25" customHeight="1" x14ac:dyDescent="0.25">
      <c r="A145" s="3"/>
      <c r="B145" s="40"/>
      <c r="C145" s="42"/>
      <c r="E145" s="3"/>
      <c r="L145" s="34"/>
      <c r="M145" s="34"/>
      <c r="O145" s="18"/>
      <c r="P145" s="18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N145" s="3"/>
      <c r="AO145" s="3"/>
    </row>
    <row r="146" spans="1:41" ht="14.25" customHeight="1" x14ac:dyDescent="0.25">
      <c r="A146" s="3"/>
      <c r="B146" s="40"/>
      <c r="C146" s="42"/>
      <c r="E146" s="3"/>
      <c r="L146" s="34"/>
      <c r="M146" s="34"/>
      <c r="O146" s="18"/>
      <c r="P146" s="18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N146" s="3"/>
      <c r="AO146" s="3"/>
    </row>
    <row r="147" spans="1:41" ht="14.25" customHeight="1" x14ac:dyDescent="0.25">
      <c r="A147" s="3"/>
      <c r="B147" s="40"/>
      <c r="C147" s="42"/>
      <c r="E147" s="3"/>
      <c r="L147" s="34"/>
      <c r="M147" s="34"/>
      <c r="O147" s="18"/>
      <c r="P147" s="18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N147" s="3"/>
      <c r="AO147" s="3"/>
    </row>
    <row r="148" spans="1:41" ht="14.25" customHeight="1" x14ac:dyDescent="0.25">
      <c r="A148" s="3"/>
      <c r="B148" s="40"/>
      <c r="C148" s="42"/>
      <c r="E148" s="3"/>
      <c r="L148" s="34"/>
      <c r="M148" s="34"/>
      <c r="O148" s="18"/>
      <c r="P148" s="18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N148" s="3"/>
      <c r="AO148" s="3"/>
    </row>
    <row r="149" spans="1:41" ht="14.25" customHeight="1" x14ac:dyDescent="0.25">
      <c r="A149" s="3"/>
      <c r="B149" s="40"/>
      <c r="C149" s="42"/>
      <c r="E149" s="3"/>
      <c r="L149" s="34"/>
      <c r="M149" s="34"/>
      <c r="O149" s="18"/>
      <c r="P149" s="18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N149" s="3"/>
      <c r="AO149" s="3"/>
    </row>
    <row r="150" spans="1:41" ht="14.25" customHeight="1" x14ac:dyDescent="0.25">
      <c r="A150" s="3"/>
      <c r="B150" s="40"/>
      <c r="C150" s="42"/>
      <c r="E150" s="3"/>
      <c r="L150" s="34"/>
      <c r="M150" s="34"/>
      <c r="O150" s="18"/>
      <c r="P150" s="18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N150" s="3"/>
      <c r="AO150" s="3"/>
    </row>
    <row r="151" spans="1:41" ht="14.25" customHeight="1" x14ac:dyDescent="0.25">
      <c r="A151" s="3"/>
      <c r="B151" s="40"/>
      <c r="C151" s="42"/>
      <c r="E151" s="3"/>
      <c r="L151" s="34"/>
      <c r="M151" s="34"/>
      <c r="O151" s="18"/>
      <c r="P151" s="18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N151" s="3"/>
      <c r="AO151" s="3"/>
    </row>
    <row r="152" spans="1:41" ht="14.25" customHeight="1" x14ac:dyDescent="0.25">
      <c r="A152" s="3"/>
      <c r="B152" s="40"/>
      <c r="C152" s="42"/>
      <c r="E152" s="3"/>
      <c r="L152" s="34"/>
      <c r="M152" s="34"/>
      <c r="O152" s="18"/>
      <c r="P152" s="18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N152" s="3"/>
      <c r="AO152" s="3"/>
    </row>
    <row r="153" spans="1:41" ht="14.25" customHeight="1" x14ac:dyDescent="0.25">
      <c r="A153" s="3"/>
      <c r="B153" s="40"/>
      <c r="C153" s="42"/>
      <c r="E153" s="3"/>
      <c r="L153" s="34"/>
      <c r="M153" s="34"/>
      <c r="O153" s="18"/>
      <c r="P153" s="18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N153" s="3"/>
      <c r="AO153" s="3"/>
    </row>
    <row r="154" spans="1:41" ht="14.25" customHeight="1" x14ac:dyDescent="0.25">
      <c r="A154" s="3"/>
      <c r="B154" s="40"/>
      <c r="C154" s="42"/>
      <c r="E154" s="3"/>
      <c r="L154" s="34"/>
      <c r="M154" s="34"/>
      <c r="O154" s="18"/>
      <c r="P154" s="18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N154" s="3"/>
      <c r="AO154" s="3"/>
    </row>
    <row r="155" spans="1:41" ht="14.25" customHeight="1" x14ac:dyDescent="0.25">
      <c r="A155" s="3"/>
      <c r="B155" s="40"/>
      <c r="C155" s="42"/>
      <c r="E155" s="3"/>
      <c r="L155" s="34"/>
      <c r="M155" s="34"/>
      <c r="O155" s="18"/>
      <c r="P155" s="18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N155" s="3"/>
      <c r="AO155" s="3"/>
    </row>
    <row r="156" spans="1:41" ht="14.25" customHeight="1" x14ac:dyDescent="0.25">
      <c r="A156" s="3"/>
      <c r="B156" s="40"/>
      <c r="C156" s="42"/>
      <c r="E156" s="3"/>
      <c r="L156" s="34"/>
      <c r="M156" s="34"/>
      <c r="O156" s="18"/>
      <c r="P156" s="18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N156" s="3"/>
      <c r="AO156" s="3"/>
    </row>
    <row r="157" spans="1:41" ht="14.25" customHeight="1" x14ac:dyDescent="0.25">
      <c r="A157" s="3"/>
      <c r="B157" s="40"/>
      <c r="C157" s="42"/>
      <c r="E157" s="3"/>
      <c r="L157" s="34"/>
      <c r="M157" s="34"/>
      <c r="O157" s="18"/>
      <c r="P157" s="18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N157" s="3"/>
      <c r="AO157" s="3"/>
    </row>
    <row r="158" spans="1:41" ht="14.25" customHeight="1" x14ac:dyDescent="0.25">
      <c r="A158" s="3"/>
      <c r="B158" s="40"/>
      <c r="C158" s="42"/>
      <c r="E158" s="3"/>
      <c r="L158" s="34"/>
      <c r="M158" s="34"/>
      <c r="O158" s="18"/>
      <c r="P158" s="18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N158" s="3"/>
      <c r="AO158" s="3"/>
    </row>
    <row r="159" spans="1:41" ht="14.25" customHeight="1" x14ac:dyDescent="0.25">
      <c r="A159" s="3"/>
      <c r="B159" s="40"/>
      <c r="C159" s="42"/>
      <c r="E159" s="3"/>
      <c r="L159" s="34"/>
      <c r="M159" s="34"/>
      <c r="O159" s="18"/>
      <c r="P159" s="18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N159" s="3"/>
      <c r="AO159" s="3"/>
    </row>
    <row r="160" spans="1:41" ht="14.25" customHeight="1" x14ac:dyDescent="0.25">
      <c r="A160" s="3"/>
      <c r="B160" s="40"/>
      <c r="C160" s="42"/>
      <c r="E160" s="3"/>
      <c r="L160" s="34"/>
      <c r="M160" s="34"/>
      <c r="O160" s="18"/>
      <c r="P160" s="18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N160" s="3"/>
      <c r="AO160" s="3"/>
    </row>
    <row r="161" spans="1:41" ht="14.25" customHeight="1" x14ac:dyDescent="0.25">
      <c r="A161" s="3"/>
      <c r="B161" s="40"/>
      <c r="C161" s="42"/>
      <c r="E161" s="3"/>
      <c r="L161" s="34"/>
      <c r="M161" s="34"/>
      <c r="O161" s="18"/>
      <c r="P161" s="18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N161" s="3"/>
      <c r="AO161" s="3"/>
    </row>
    <row r="162" spans="1:41" ht="14.25" customHeight="1" x14ac:dyDescent="0.25">
      <c r="A162" s="3"/>
      <c r="B162" s="40"/>
      <c r="C162" s="42"/>
      <c r="E162" s="3"/>
      <c r="L162" s="34"/>
      <c r="M162" s="34"/>
      <c r="O162" s="18"/>
      <c r="P162" s="18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N162" s="3"/>
      <c r="AO162" s="3"/>
    </row>
    <row r="163" spans="1:41" ht="14.25" customHeight="1" x14ac:dyDescent="0.25">
      <c r="A163" s="3"/>
      <c r="B163" s="40"/>
      <c r="C163" s="42"/>
      <c r="E163" s="3"/>
      <c r="L163" s="34"/>
      <c r="M163" s="34"/>
      <c r="O163" s="18"/>
      <c r="P163" s="18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N163" s="3"/>
      <c r="AO163" s="3"/>
    </row>
    <row r="164" spans="1:41" ht="14.25" customHeight="1" x14ac:dyDescent="0.25">
      <c r="A164" s="3"/>
      <c r="B164" s="40"/>
      <c r="C164" s="42"/>
      <c r="E164" s="3"/>
      <c r="L164" s="34"/>
      <c r="M164" s="34"/>
      <c r="O164" s="18"/>
      <c r="P164" s="18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N164" s="3"/>
      <c r="AO164" s="3"/>
    </row>
    <row r="165" spans="1:41" ht="14.25" customHeight="1" x14ac:dyDescent="0.25">
      <c r="A165" s="3"/>
      <c r="B165" s="40"/>
      <c r="C165" s="42"/>
      <c r="E165" s="3"/>
      <c r="L165" s="34"/>
      <c r="M165" s="34"/>
      <c r="O165" s="18"/>
      <c r="P165" s="18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N165" s="3"/>
      <c r="AO165" s="3"/>
    </row>
    <row r="166" spans="1:41" ht="14.25" customHeight="1" x14ac:dyDescent="0.25">
      <c r="A166" s="3"/>
      <c r="B166" s="40"/>
      <c r="C166" s="42"/>
      <c r="E166" s="3"/>
      <c r="L166" s="34"/>
      <c r="M166" s="34"/>
      <c r="O166" s="18"/>
      <c r="P166" s="18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N166" s="3"/>
      <c r="AO166" s="3"/>
    </row>
    <row r="167" spans="1:41" ht="14.25" customHeight="1" x14ac:dyDescent="0.25">
      <c r="A167" s="3"/>
      <c r="B167" s="40"/>
      <c r="C167" s="42"/>
      <c r="E167" s="3"/>
      <c r="L167" s="34"/>
      <c r="M167" s="34"/>
      <c r="O167" s="18"/>
      <c r="P167" s="18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N167" s="3"/>
      <c r="AO167" s="3"/>
    </row>
    <row r="168" spans="1:41" ht="14.25" customHeight="1" x14ac:dyDescent="0.25">
      <c r="A168" s="3"/>
      <c r="B168" s="40"/>
      <c r="C168" s="42"/>
      <c r="E168" s="3"/>
      <c r="L168" s="34"/>
      <c r="M168" s="34"/>
      <c r="O168" s="18"/>
      <c r="P168" s="18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N168" s="3"/>
      <c r="AO168" s="3"/>
    </row>
    <row r="169" spans="1:41" ht="14.25" customHeight="1" x14ac:dyDescent="0.25">
      <c r="A169" s="3"/>
      <c r="B169" s="40"/>
      <c r="C169" s="42"/>
      <c r="E169" s="3"/>
      <c r="L169" s="34"/>
      <c r="M169" s="34"/>
      <c r="O169" s="18"/>
      <c r="P169" s="18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N169" s="3"/>
      <c r="AO169" s="3"/>
    </row>
    <row r="170" spans="1:41" ht="14.25" customHeight="1" x14ac:dyDescent="0.25">
      <c r="A170" s="3"/>
      <c r="B170" s="40"/>
      <c r="C170" s="42"/>
      <c r="E170" s="3"/>
      <c r="L170" s="34"/>
      <c r="M170" s="34"/>
      <c r="O170" s="18"/>
      <c r="P170" s="18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N170" s="3"/>
      <c r="AO170" s="3"/>
    </row>
    <row r="171" spans="1:41" ht="14.25" customHeight="1" x14ac:dyDescent="0.25">
      <c r="A171" s="3"/>
      <c r="B171" s="40"/>
      <c r="C171" s="42"/>
      <c r="E171" s="3"/>
      <c r="L171" s="34"/>
      <c r="M171" s="34"/>
      <c r="O171" s="18"/>
      <c r="P171" s="18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N171" s="3"/>
      <c r="AO171" s="3"/>
    </row>
    <row r="172" spans="1:41" ht="14.25" customHeight="1" x14ac:dyDescent="0.25">
      <c r="A172" s="3"/>
      <c r="B172" s="40"/>
      <c r="C172" s="42"/>
      <c r="E172" s="3"/>
      <c r="L172" s="34"/>
      <c r="M172" s="34"/>
      <c r="O172" s="18"/>
      <c r="P172" s="18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N172" s="3"/>
      <c r="AO172" s="3"/>
    </row>
    <row r="173" spans="1:41" ht="14.25" customHeight="1" x14ac:dyDescent="0.25">
      <c r="A173" s="3"/>
      <c r="B173" s="40"/>
      <c r="C173" s="42"/>
      <c r="E173" s="3"/>
      <c r="L173" s="34"/>
      <c r="M173" s="34"/>
      <c r="O173" s="18"/>
      <c r="P173" s="18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N173" s="3"/>
      <c r="AO173" s="3"/>
    </row>
    <row r="174" spans="1:41" ht="14.25" customHeight="1" x14ac:dyDescent="0.25">
      <c r="A174" s="3"/>
      <c r="B174" s="40"/>
      <c r="C174" s="42"/>
      <c r="E174" s="3"/>
      <c r="L174" s="34"/>
      <c r="M174" s="34"/>
      <c r="O174" s="18"/>
      <c r="P174" s="18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N174" s="3"/>
      <c r="AO174" s="3"/>
    </row>
    <row r="175" spans="1:41" ht="14.25" customHeight="1" x14ac:dyDescent="0.25">
      <c r="A175" s="3"/>
      <c r="B175" s="40"/>
      <c r="C175" s="42"/>
      <c r="E175" s="3"/>
      <c r="L175" s="34"/>
      <c r="M175" s="34"/>
      <c r="O175" s="18"/>
      <c r="P175" s="18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N175" s="3"/>
      <c r="AO175" s="3"/>
    </row>
    <row r="176" spans="1:41" ht="14.25" customHeight="1" x14ac:dyDescent="0.25">
      <c r="A176" s="3"/>
      <c r="B176" s="40"/>
      <c r="C176" s="42"/>
      <c r="E176" s="3"/>
      <c r="L176" s="34"/>
      <c r="M176" s="34"/>
      <c r="O176" s="18"/>
      <c r="P176" s="18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N176" s="3"/>
      <c r="AO176" s="3"/>
    </row>
    <row r="177" spans="1:41" ht="14.25" customHeight="1" x14ac:dyDescent="0.25">
      <c r="A177" s="3"/>
      <c r="B177" s="40"/>
      <c r="C177" s="42"/>
      <c r="E177" s="3"/>
      <c r="L177" s="34"/>
      <c r="M177" s="34"/>
      <c r="O177" s="18"/>
      <c r="P177" s="18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N177" s="3"/>
      <c r="AO177" s="3"/>
    </row>
    <row r="178" spans="1:41" ht="14.25" customHeight="1" x14ac:dyDescent="0.25">
      <c r="A178" s="3"/>
      <c r="B178" s="40"/>
      <c r="C178" s="42"/>
      <c r="E178" s="3"/>
      <c r="L178" s="34"/>
      <c r="M178" s="34"/>
      <c r="O178" s="18"/>
      <c r="P178" s="18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N178" s="3"/>
      <c r="AO178" s="3"/>
    </row>
    <row r="179" spans="1:41" ht="14.25" customHeight="1" x14ac:dyDescent="0.25">
      <c r="A179" s="3"/>
      <c r="B179" s="40"/>
      <c r="C179" s="42"/>
      <c r="E179" s="3"/>
      <c r="L179" s="34"/>
      <c r="M179" s="34"/>
      <c r="O179" s="18"/>
      <c r="P179" s="18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N179" s="3"/>
      <c r="AO179" s="3"/>
    </row>
    <row r="180" spans="1:41" ht="14.25" customHeight="1" x14ac:dyDescent="0.25">
      <c r="A180" s="3"/>
      <c r="B180" s="40"/>
      <c r="C180" s="42"/>
      <c r="E180" s="3"/>
      <c r="L180" s="34"/>
      <c r="M180" s="34"/>
      <c r="O180" s="18"/>
      <c r="P180" s="18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N180" s="3"/>
      <c r="AO180" s="3"/>
    </row>
    <row r="181" spans="1:41" ht="14.25" customHeight="1" x14ac:dyDescent="0.25">
      <c r="A181" s="3"/>
      <c r="B181" s="40"/>
      <c r="C181" s="42"/>
      <c r="E181" s="3"/>
      <c r="L181" s="34"/>
      <c r="M181" s="34"/>
      <c r="O181" s="18"/>
      <c r="P181" s="18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N181" s="3"/>
      <c r="AO181" s="3"/>
    </row>
    <row r="182" spans="1:41" ht="14.25" customHeight="1" x14ac:dyDescent="0.25">
      <c r="A182" s="3"/>
      <c r="B182" s="40"/>
      <c r="C182" s="42"/>
      <c r="E182" s="3"/>
      <c r="L182" s="34"/>
      <c r="M182" s="34"/>
      <c r="O182" s="18"/>
      <c r="P182" s="18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N182" s="3"/>
      <c r="AO182" s="3"/>
    </row>
    <row r="183" spans="1:41" ht="14.25" customHeight="1" x14ac:dyDescent="0.25">
      <c r="A183" s="3"/>
      <c r="B183" s="40"/>
      <c r="C183" s="42"/>
      <c r="E183" s="3"/>
      <c r="L183" s="34"/>
      <c r="M183" s="34"/>
      <c r="O183" s="18"/>
      <c r="P183" s="18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N183" s="3"/>
      <c r="AO183" s="3"/>
    </row>
    <row r="184" spans="1:41" ht="14.25" customHeight="1" x14ac:dyDescent="0.25">
      <c r="A184" s="3"/>
      <c r="B184" s="40"/>
      <c r="C184" s="42"/>
      <c r="E184" s="3"/>
      <c r="L184" s="34"/>
      <c r="M184" s="34"/>
      <c r="O184" s="18"/>
      <c r="P184" s="18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N184" s="3"/>
      <c r="AO184" s="3"/>
    </row>
    <row r="185" spans="1:41" ht="14.25" customHeight="1" x14ac:dyDescent="0.25">
      <c r="A185" s="3"/>
      <c r="B185" s="40"/>
      <c r="C185" s="42"/>
      <c r="E185" s="3"/>
      <c r="L185" s="34"/>
      <c r="M185" s="34"/>
      <c r="O185" s="18"/>
      <c r="P185" s="18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N185" s="3"/>
      <c r="AO185" s="3"/>
    </row>
    <row r="186" spans="1:41" ht="14.25" customHeight="1" x14ac:dyDescent="0.25">
      <c r="A186" s="3"/>
      <c r="B186" s="40"/>
      <c r="C186" s="42"/>
      <c r="E186" s="3"/>
      <c r="L186" s="34"/>
      <c r="M186" s="34"/>
      <c r="O186" s="18"/>
      <c r="P186" s="18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N186" s="3"/>
      <c r="AO186" s="3"/>
    </row>
    <row r="187" spans="1:41" ht="14.25" customHeight="1" x14ac:dyDescent="0.25">
      <c r="A187" s="3"/>
      <c r="B187" s="40"/>
      <c r="C187" s="42"/>
      <c r="E187" s="3"/>
      <c r="L187" s="34"/>
      <c r="M187" s="34"/>
      <c r="O187" s="18"/>
      <c r="P187" s="18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N187" s="3"/>
      <c r="AO187" s="3"/>
    </row>
    <row r="188" spans="1:41" ht="14.25" customHeight="1" x14ac:dyDescent="0.25">
      <c r="A188" s="3"/>
      <c r="B188" s="40"/>
      <c r="C188" s="42"/>
      <c r="E188" s="3"/>
      <c r="L188" s="34"/>
      <c r="M188" s="34"/>
      <c r="O188" s="18"/>
      <c r="P188" s="18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N188" s="3"/>
      <c r="AO188" s="3"/>
    </row>
    <row r="189" spans="1:41" ht="14.25" customHeight="1" x14ac:dyDescent="0.25">
      <c r="A189" s="3"/>
      <c r="B189" s="40"/>
      <c r="C189" s="42"/>
      <c r="E189" s="3"/>
      <c r="L189" s="34"/>
      <c r="M189" s="34"/>
      <c r="O189" s="18"/>
      <c r="P189" s="18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N189" s="3"/>
      <c r="AO189" s="3"/>
    </row>
    <row r="190" spans="1:41" ht="14.25" customHeight="1" x14ac:dyDescent="0.25">
      <c r="A190" s="3"/>
      <c r="B190" s="40"/>
      <c r="C190" s="42"/>
      <c r="E190" s="3"/>
      <c r="L190" s="34"/>
      <c r="M190" s="34"/>
      <c r="O190" s="18"/>
      <c r="P190" s="18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N190" s="3"/>
      <c r="AO190" s="3"/>
    </row>
    <row r="191" spans="1:41" ht="14.25" customHeight="1" x14ac:dyDescent="0.25">
      <c r="A191" s="3"/>
      <c r="B191" s="40"/>
      <c r="C191" s="42"/>
      <c r="E191" s="3"/>
      <c r="L191" s="34"/>
      <c r="M191" s="34"/>
      <c r="O191" s="18"/>
      <c r="P191" s="18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N191" s="3"/>
      <c r="AO191" s="3"/>
    </row>
    <row r="192" spans="1:41" ht="14.25" customHeight="1" x14ac:dyDescent="0.25">
      <c r="A192" s="3"/>
      <c r="B192" s="40"/>
      <c r="C192" s="42"/>
      <c r="E192" s="3"/>
      <c r="L192" s="34"/>
      <c r="M192" s="34"/>
      <c r="O192" s="18"/>
      <c r="P192" s="18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N192" s="3"/>
      <c r="AO192" s="3"/>
    </row>
    <row r="193" spans="1:41" ht="14.25" customHeight="1" x14ac:dyDescent="0.25">
      <c r="A193" s="3"/>
      <c r="B193" s="40"/>
      <c r="C193" s="42"/>
      <c r="E193" s="3"/>
      <c r="L193" s="34"/>
      <c r="M193" s="34"/>
      <c r="O193" s="18"/>
      <c r="P193" s="18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N193" s="3"/>
      <c r="AO193" s="3"/>
    </row>
    <row r="194" spans="1:41" ht="14.25" customHeight="1" x14ac:dyDescent="0.25">
      <c r="A194" s="3"/>
      <c r="B194" s="40"/>
      <c r="C194" s="42"/>
      <c r="E194" s="3"/>
      <c r="L194" s="34"/>
      <c r="M194" s="34"/>
      <c r="O194" s="18"/>
      <c r="P194" s="18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N194" s="3"/>
      <c r="AO194" s="3"/>
    </row>
    <row r="195" spans="1:41" ht="14.25" customHeight="1" x14ac:dyDescent="0.25">
      <c r="A195" s="3"/>
      <c r="B195" s="40"/>
      <c r="C195" s="42"/>
      <c r="E195" s="3"/>
      <c r="L195" s="34"/>
      <c r="M195" s="34"/>
      <c r="O195" s="18"/>
      <c r="P195" s="18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N195" s="3"/>
      <c r="AO195" s="3"/>
    </row>
    <row r="196" spans="1:41" ht="14.25" customHeight="1" x14ac:dyDescent="0.25">
      <c r="A196" s="3"/>
      <c r="B196" s="40"/>
      <c r="C196" s="42"/>
      <c r="E196" s="3"/>
      <c r="L196" s="34"/>
      <c r="M196" s="34"/>
      <c r="O196" s="18"/>
      <c r="P196" s="18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N196" s="3"/>
      <c r="AO196" s="3"/>
    </row>
    <row r="197" spans="1:41" ht="14.25" customHeight="1" x14ac:dyDescent="0.25">
      <c r="A197" s="3"/>
      <c r="B197" s="40"/>
      <c r="C197" s="42"/>
      <c r="E197" s="3"/>
      <c r="L197" s="34"/>
      <c r="M197" s="34"/>
      <c r="O197" s="18"/>
      <c r="P197" s="18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N197" s="3"/>
      <c r="AO197" s="3"/>
    </row>
    <row r="198" spans="1:41" ht="14.25" customHeight="1" x14ac:dyDescent="0.25">
      <c r="A198" s="3"/>
      <c r="B198" s="40"/>
      <c r="C198" s="42"/>
      <c r="E198" s="3"/>
      <c r="L198" s="34"/>
      <c r="M198" s="34"/>
      <c r="O198" s="18"/>
      <c r="P198" s="18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N198" s="3"/>
      <c r="AO198" s="3"/>
    </row>
    <row r="199" spans="1:41" ht="14.25" customHeight="1" x14ac:dyDescent="0.25">
      <c r="A199" s="3"/>
      <c r="B199" s="40"/>
      <c r="C199" s="42"/>
      <c r="E199" s="3"/>
      <c r="L199" s="34"/>
      <c r="M199" s="34"/>
      <c r="O199" s="18"/>
      <c r="P199" s="18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N199" s="3"/>
      <c r="AO199" s="3"/>
    </row>
    <row r="200" spans="1:41" ht="14.25" customHeight="1" x14ac:dyDescent="0.25">
      <c r="A200" s="3"/>
      <c r="B200" s="40"/>
      <c r="C200" s="42"/>
      <c r="E200" s="3"/>
      <c r="L200" s="34"/>
      <c r="M200" s="34"/>
      <c r="O200" s="18"/>
      <c r="P200" s="18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N200" s="3"/>
      <c r="AO200" s="3"/>
    </row>
    <row r="201" spans="1:41" ht="14.25" customHeight="1" x14ac:dyDescent="0.25">
      <c r="A201" s="3"/>
      <c r="B201" s="40"/>
      <c r="C201" s="42"/>
      <c r="E201" s="3"/>
      <c r="L201" s="34"/>
      <c r="M201" s="34"/>
      <c r="O201" s="18"/>
      <c r="P201" s="18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N201" s="3"/>
      <c r="AO201" s="3"/>
    </row>
    <row r="202" spans="1:41" ht="14.25" customHeight="1" x14ac:dyDescent="0.25">
      <c r="A202" s="3"/>
      <c r="B202" s="40"/>
      <c r="C202" s="42"/>
      <c r="E202" s="3"/>
      <c r="L202" s="34"/>
      <c r="M202" s="34"/>
      <c r="O202" s="18"/>
      <c r="P202" s="18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N202" s="3"/>
      <c r="AO202" s="3"/>
    </row>
    <row r="203" spans="1:41" ht="14.25" customHeight="1" x14ac:dyDescent="0.25">
      <c r="A203" s="3"/>
      <c r="B203" s="40"/>
      <c r="C203" s="42"/>
      <c r="E203" s="3"/>
      <c r="L203" s="34"/>
      <c r="M203" s="34"/>
      <c r="O203" s="18"/>
      <c r="P203" s="18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N203" s="3"/>
      <c r="AO203" s="3"/>
    </row>
    <row r="204" spans="1:41" ht="14.25" customHeight="1" x14ac:dyDescent="0.25">
      <c r="A204" s="3"/>
      <c r="B204" s="40"/>
      <c r="C204" s="42"/>
      <c r="E204" s="3"/>
      <c r="L204" s="34"/>
      <c r="M204" s="34"/>
      <c r="O204" s="18"/>
      <c r="P204" s="18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N204" s="3"/>
      <c r="AO204" s="3"/>
    </row>
    <row r="205" spans="1:41" ht="14.25" customHeight="1" x14ac:dyDescent="0.25">
      <c r="A205" s="3"/>
      <c r="B205" s="40"/>
      <c r="C205" s="42"/>
      <c r="E205" s="3"/>
      <c r="L205" s="34"/>
      <c r="M205" s="34"/>
      <c r="O205" s="18"/>
      <c r="P205" s="18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N205" s="3"/>
      <c r="AO205" s="3"/>
    </row>
    <row r="206" spans="1:41" ht="14.25" customHeight="1" x14ac:dyDescent="0.25">
      <c r="A206" s="3"/>
      <c r="B206" s="40"/>
      <c r="C206" s="42"/>
      <c r="E206" s="3"/>
      <c r="L206" s="34"/>
      <c r="M206" s="34"/>
      <c r="O206" s="18"/>
      <c r="P206" s="18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N206" s="3"/>
      <c r="AO206" s="3"/>
    </row>
    <row r="207" spans="1:41" ht="14.25" customHeight="1" x14ac:dyDescent="0.25">
      <c r="A207" s="3"/>
      <c r="B207" s="40"/>
      <c r="C207" s="42"/>
      <c r="E207" s="3"/>
      <c r="L207" s="34"/>
      <c r="M207" s="34"/>
      <c r="O207" s="18"/>
      <c r="P207" s="18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N207" s="3"/>
      <c r="AO207" s="3"/>
    </row>
    <row r="208" spans="1:41" ht="14.25" customHeight="1" x14ac:dyDescent="0.25">
      <c r="A208" s="3"/>
      <c r="B208" s="40"/>
      <c r="C208" s="42"/>
      <c r="E208" s="3"/>
      <c r="L208" s="34"/>
      <c r="M208" s="34"/>
      <c r="O208" s="18"/>
      <c r="P208" s="18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N208" s="3"/>
      <c r="AO208" s="3"/>
    </row>
    <row r="209" spans="1:41" ht="14.25" customHeight="1" x14ac:dyDescent="0.25">
      <c r="A209" s="3"/>
      <c r="B209" s="40"/>
      <c r="C209" s="42"/>
      <c r="E209" s="3"/>
      <c r="L209" s="34"/>
      <c r="M209" s="34"/>
      <c r="O209" s="18"/>
      <c r="P209" s="18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N209" s="3"/>
      <c r="AO209" s="3"/>
    </row>
    <row r="210" spans="1:41" ht="14.25" customHeight="1" x14ac:dyDescent="0.25">
      <c r="A210" s="3"/>
      <c r="B210" s="40"/>
      <c r="C210" s="42"/>
      <c r="E210" s="3"/>
      <c r="L210" s="34"/>
      <c r="M210" s="34"/>
      <c r="O210" s="18"/>
      <c r="P210" s="18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N210" s="3"/>
      <c r="AO210" s="3"/>
    </row>
    <row r="211" spans="1:41" ht="14.25" customHeight="1" x14ac:dyDescent="0.25">
      <c r="A211" s="3"/>
      <c r="B211" s="40"/>
      <c r="C211" s="42"/>
      <c r="E211" s="3"/>
      <c r="L211" s="34"/>
      <c r="M211" s="34"/>
      <c r="O211" s="18"/>
      <c r="P211" s="18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N211" s="3"/>
      <c r="AO211" s="3"/>
    </row>
    <row r="212" spans="1:41" ht="14.25" customHeight="1" x14ac:dyDescent="0.25">
      <c r="A212" s="3"/>
      <c r="B212" s="40"/>
      <c r="C212" s="42"/>
      <c r="E212" s="3"/>
      <c r="L212" s="34"/>
      <c r="M212" s="34"/>
      <c r="O212" s="18"/>
      <c r="P212" s="18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N212" s="3"/>
      <c r="AO212" s="3"/>
    </row>
    <row r="213" spans="1:41" ht="14.25" customHeight="1" x14ac:dyDescent="0.25">
      <c r="A213" s="3"/>
      <c r="B213" s="40"/>
      <c r="C213" s="42"/>
      <c r="E213" s="3"/>
      <c r="L213" s="34"/>
      <c r="M213" s="34"/>
      <c r="O213" s="18"/>
      <c r="P213" s="18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N213" s="3"/>
      <c r="AO213" s="3"/>
    </row>
    <row r="214" spans="1:41" ht="14.25" customHeight="1" x14ac:dyDescent="0.25">
      <c r="A214" s="3"/>
      <c r="B214" s="40"/>
      <c r="C214" s="42"/>
      <c r="E214" s="3"/>
      <c r="L214" s="34"/>
      <c r="M214" s="34"/>
      <c r="O214" s="18"/>
      <c r="P214" s="18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N214" s="3"/>
      <c r="AO214" s="3"/>
    </row>
    <row r="215" spans="1:41" ht="14.25" customHeight="1" x14ac:dyDescent="0.25">
      <c r="A215" s="3"/>
      <c r="B215" s="40"/>
      <c r="C215" s="42"/>
      <c r="E215" s="3"/>
      <c r="L215" s="34"/>
      <c r="M215" s="34"/>
      <c r="O215" s="18"/>
      <c r="P215" s="18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N215" s="3"/>
      <c r="AO215" s="3"/>
    </row>
    <row r="216" spans="1:41" ht="14.25" customHeight="1" x14ac:dyDescent="0.25">
      <c r="A216" s="3"/>
      <c r="B216" s="40"/>
      <c r="C216" s="42"/>
      <c r="E216" s="3"/>
      <c r="L216" s="34"/>
      <c r="M216" s="34"/>
      <c r="O216" s="18"/>
      <c r="P216" s="18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N216" s="3"/>
      <c r="AO216" s="3"/>
    </row>
    <row r="217" spans="1:41" ht="14.25" customHeight="1" x14ac:dyDescent="0.25">
      <c r="A217" s="3"/>
      <c r="B217" s="40"/>
      <c r="C217" s="42"/>
      <c r="E217" s="3"/>
      <c r="L217" s="34"/>
      <c r="M217" s="34"/>
      <c r="O217" s="18"/>
      <c r="P217" s="18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N217" s="3"/>
      <c r="AO217" s="3"/>
    </row>
    <row r="218" spans="1:41" ht="14.25" customHeight="1" x14ac:dyDescent="0.25">
      <c r="A218" s="3"/>
      <c r="B218" s="40"/>
      <c r="C218" s="42"/>
      <c r="E218" s="3"/>
      <c r="L218" s="34"/>
      <c r="M218" s="34"/>
      <c r="O218" s="18"/>
      <c r="P218" s="18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N218" s="3"/>
      <c r="AO218" s="3"/>
    </row>
    <row r="219" spans="1:41" ht="14.25" customHeight="1" x14ac:dyDescent="0.25">
      <c r="A219" s="3"/>
      <c r="B219" s="40"/>
      <c r="C219" s="42"/>
      <c r="E219" s="3"/>
      <c r="L219" s="34"/>
      <c r="M219" s="34"/>
      <c r="O219" s="18"/>
      <c r="P219" s="18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N219" s="3"/>
      <c r="AO219" s="3"/>
    </row>
    <row r="220" spans="1:41" ht="14.25" customHeight="1" x14ac:dyDescent="0.25">
      <c r="A220" s="3"/>
      <c r="B220" s="40"/>
      <c r="C220" s="42"/>
      <c r="E220" s="3"/>
      <c r="L220" s="34"/>
      <c r="M220" s="34"/>
      <c r="O220" s="18"/>
      <c r="P220" s="18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N220" s="3"/>
      <c r="AO220" s="3"/>
    </row>
    <row r="221" spans="1:41" ht="14.25" customHeight="1" x14ac:dyDescent="0.25">
      <c r="A221" s="3"/>
      <c r="B221" s="40"/>
      <c r="C221" s="42"/>
      <c r="E221" s="3"/>
      <c r="L221" s="34"/>
      <c r="M221" s="34"/>
      <c r="O221" s="18"/>
      <c r="P221" s="18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N221" s="3"/>
      <c r="AO221" s="3"/>
    </row>
    <row r="222" spans="1:41" ht="14.25" customHeight="1" x14ac:dyDescent="0.25">
      <c r="A222" s="3"/>
      <c r="B222" s="40"/>
      <c r="C222" s="42"/>
      <c r="E222" s="3"/>
      <c r="L222" s="34"/>
      <c r="M222" s="34"/>
      <c r="O222" s="18"/>
      <c r="P222" s="18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N222" s="3"/>
      <c r="AO222" s="3"/>
    </row>
    <row r="223" spans="1:41" ht="14.25" customHeight="1" x14ac:dyDescent="0.25">
      <c r="A223" s="3"/>
      <c r="B223" s="40"/>
      <c r="C223" s="42"/>
      <c r="E223" s="3"/>
      <c r="L223" s="34"/>
      <c r="M223" s="34"/>
      <c r="O223" s="18"/>
      <c r="P223" s="18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N223" s="3"/>
      <c r="AO223" s="3"/>
    </row>
    <row r="224" spans="1:41" ht="14.25" customHeight="1" x14ac:dyDescent="0.25">
      <c r="A224" s="3"/>
      <c r="B224" s="40"/>
      <c r="C224" s="42"/>
      <c r="E224" s="3"/>
      <c r="L224" s="34"/>
      <c r="M224" s="34"/>
      <c r="O224" s="18"/>
      <c r="P224" s="18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N224" s="3"/>
      <c r="AO224" s="3"/>
    </row>
    <row r="225" spans="1:41" ht="14.25" customHeight="1" x14ac:dyDescent="0.25">
      <c r="A225" s="3"/>
      <c r="B225" s="40"/>
      <c r="C225" s="42"/>
      <c r="E225" s="3"/>
      <c r="L225" s="34"/>
      <c r="M225" s="34"/>
      <c r="O225" s="18"/>
      <c r="P225" s="18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N225" s="3"/>
      <c r="AO225" s="3"/>
    </row>
    <row r="226" spans="1:41" ht="14.25" customHeight="1" x14ac:dyDescent="0.25">
      <c r="A226" s="3"/>
      <c r="B226" s="40"/>
      <c r="C226" s="42"/>
      <c r="E226" s="3"/>
      <c r="L226" s="34"/>
      <c r="M226" s="34"/>
      <c r="O226" s="18"/>
      <c r="P226" s="18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N226" s="3"/>
      <c r="AO226" s="3"/>
    </row>
    <row r="227" spans="1:41" ht="14.25" customHeight="1" x14ac:dyDescent="0.25">
      <c r="A227" s="3"/>
      <c r="B227" s="40"/>
      <c r="C227" s="42"/>
      <c r="E227" s="3"/>
      <c r="L227" s="34"/>
      <c r="M227" s="34"/>
      <c r="O227" s="18"/>
      <c r="P227" s="18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N227" s="3"/>
      <c r="AO227" s="3"/>
    </row>
    <row r="228" spans="1:41" ht="14.25" customHeight="1" x14ac:dyDescent="0.25">
      <c r="A228" s="3"/>
      <c r="B228" s="40"/>
      <c r="C228" s="42"/>
      <c r="E228" s="3"/>
      <c r="L228" s="34"/>
      <c r="M228" s="34"/>
      <c r="O228" s="18"/>
      <c r="P228" s="18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N228" s="3"/>
      <c r="AO228" s="3"/>
    </row>
    <row r="229" spans="1:41" ht="14.25" customHeight="1" x14ac:dyDescent="0.25">
      <c r="A229" s="3"/>
      <c r="B229" s="40"/>
      <c r="C229" s="42"/>
      <c r="E229" s="3"/>
      <c r="L229" s="34"/>
      <c r="M229" s="34"/>
      <c r="O229" s="18"/>
      <c r="P229" s="18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N229" s="3"/>
      <c r="AO229" s="3"/>
    </row>
    <row r="230" spans="1:41" ht="14.25" customHeight="1" x14ac:dyDescent="0.25">
      <c r="A230" s="3"/>
      <c r="B230" s="40"/>
      <c r="C230" s="42"/>
      <c r="E230" s="3"/>
      <c r="L230" s="34"/>
      <c r="M230" s="34"/>
      <c r="O230" s="18"/>
      <c r="P230" s="18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N230" s="3"/>
      <c r="AO230" s="3"/>
    </row>
    <row r="231" spans="1:41" ht="14.25" customHeight="1" x14ac:dyDescent="0.25">
      <c r="A231" s="3"/>
      <c r="B231" s="40"/>
      <c r="C231" s="42"/>
      <c r="E231" s="3"/>
      <c r="L231" s="34"/>
      <c r="M231" s="34"/>
      <c r="O231" s="18"/>
      <c r="P231" s="18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N231" s="3"/>
      <c r="AO231" s="3"/>
    </row>
    <row r="232" spans="1:41" ht="14.25" customHeight="1" x14ac:dyDescent="0.25">
      <c r="A232" s="3"/>
      <c r="B232" s="40"/>
      <c r="C232" s="42"/>
      <c r="E232" s="3"/>
      <c r="L232" s="34"/>
      <c r="M232" s="34"/>
      <c r="O232" s="18"/>
      <c r="P232" s="18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N232" s="3"/>
      <c r="AO232" s="3"/>
    </row>
    <row r="233" spans="1:41" ht="14.25" customHeight="1" x14ac:dyDescent="0.25">
      <c r="A233" s="3"/>
      <c r="B233" s="40"/>
      <c r="C233" s="42"/>
      <c r="E233" s="3"/>
      <c r="L233" s="34"/>
      <c r="M233" s="34"/>
      <c r="O233" s="18"/>
      <c r="P233" s="18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N233" s="3"/>
      <c r="AO233" s="3"/>
    </row>
    <row r="234" spans="1:41" ht="14.25" customHeight="1" x14ac:dyDescent="0.25">
      <c r="A234" s="3"/>
      <c r="B234" s="40"/>
      <c r="C234" s="42"/>
      <c r="E234" s="3"/>
      <c r="L234" s="34"/>
      <c r="M234" s="34"/>
      <c r="O234" s="18"/>
      <c r="P234" s="18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N234" s="3"/>
      <c r="AO234" s="3"/>
    </row>
    <row r="235" spans="1:41" ht="14.25" customHeight="1" x14ac:dyDescent="0.25">
      <c r="A235" s="3"/>
      <c r="B235" s="40"/>
      <c r="C235" s="42"/>
      <c r="E235" s="3"/>
      <c r="L235" s="34"/>
      <c r="M235" s="34"/>
      <c r="O235" s="18"/>
      <c r="P235" s="18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N235" s="3"/>
      <c r="AO235" s="3"/>
    </row>
    <row r="236" spans="1:41" ht="14.25" customHeight="1" x14ac:dyDescent="0.25">
      <c r="A236" s="3"/>
      <c r="B236" s="40"/>
      <c r="C236" s="42"/>
      <c r="E236" s="3"/>
      <c r="L236" s="34"/>
      <c r="M236" s="34"/>
      <c r="O236" s="18"/>
      <c r="P236" s="18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N236" s="3"/>
      <c r="AO236" s="3"/>
    </row>
    <row r="237" spans="1:41" ht="14.25" customHeight="1" x14ac:dyDescent="0.25">
      <c r="A237" s="3"/>
      <c r="B237" s="40"/>
      <c r="C237" s="42"/>
      <c r="E237" s="3"/>
      <c r="L237" s="34"/>
      <c r="M237" s="34"/>
      <c r="O237" s="18"/>
      <c r="P237" s="18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N237" s="3"/>
      <c r="AO237" s="3"/>
    </row>
    <row r="238" spans="1:41" ht="14.25" customHeight="1" x14ac:dyDescent="0.25">
      <c r="A238" s="3"/>
      <c r="B238" s="40"/>
      <c r="C238" s="42"/>
      <c r="E238" s="3"/>
      <c r="L238" s="34"/>
      <c r="M238" s="34"/>
      <c r="O238" s="18"/>
      <c r="P238" s="18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N238" s="3"/>
      <c r="AO238" s="3"/>
    </row>
    <row r="239" spans="1:41" ht="14.25" customHeight="1" x14ac:dyDescent="0.25">
      <c r="A239" s="3"/>
      <c r="B239" s="40"/>
      <c r="C239" s="42"/>
      <c r="E239" s="3"/>
      <c r="L239" s="34"/>
      <c r="M239" s="34"/>
      <c r="O239" s="18"/>
      <c r="P239" s="18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N239" s="3"/>
      <c r="AO239" s="3"/>
    </row>
    <row r="240" spans="1:41" ht="14.25" customHeight="1" x14ac:dyDescent="0.25">
      <c r="A240" s="3"/>
      <c r="B240" s="40"/>
      <c r="C240" s="42"/>
      <c r="E240" s="3"/>
      <c r="L240" s="34"/>
      <c r="M240" s="34"/>
      <c r="O240" s="18"/>
      <c r="P240" s="18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N240" s="3"/>
      <c r="AO240" s="3"/>
    </row>
    <row r="241" spans="1:41" ht="14.25" customHeight="1" x14ac:dyDescent="0.25">
      <c r="A241" s="3"/>
      <c r="B241" s="40"/>
      <c r="C241" s="42"/>
      <c r="E241" s="3"/>
      <c r="L241" s="34"/>
      <c r="M241" s="34"/>
      <c r="O241" s="18"/>
      <c r="P241" s="18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N241" s="3"/>
      <c r="AO241" s="3"/>
    </row>
    <row r="242" spans="1:41" ht="14.25" customHeight="1" x14ac:dyDescent="0.25">
      <c r="A242" s="3"/>
      <c r="B242" s="40"/>
      <c r="C242" s="42"/>
      <c r="E242" s="3"/>
      <c r="L242" s="34"/>
      <c r="M242" s="34"/>
      <c r="O242" s="18"/>
      <c r="P242" s="18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N242" s="3"/>
      <c r="AO242" s="3"/>
    </row>
    <row r="243" spans="1:41" ht="14.25" customHeight="1" x14ac:dyDescent="0.25">
      <c r="A243" s="3"/>
      <c r="B243" s="40"/>
      <c r="C243" s="42"/>
      <c r="E243" s="3"/>
      <c r="L243" s="34"/>
      <c r="M243" s="34"/>
      <c r="O243" s="18"/>
      <c r="P243" s="18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N243" s="3"/>
      <c r="AO243" s="3"/>
    </row>
    <row r="244" spans="1:41" ht="14.25" customHeight="1" x14ac:dyDescent="0.25">
      <c r="A244" s="3"/>
      <c r="B244" s="40"/>
      <c r="C244" s="42"/>
      <c r="E244" s="3"/>
      <c r="L244" s="34"/>
      <c r="M244" s="34"/>
      <c r="O244" s="18"/>
      <c r="P244" s="18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N244" s="3"/>
      <c r="AO244" s="3"/>
    </row>
    <row r="245" spans="1:41" ht="14.25" customHeight="1" x14ac:dyDescent="0.25">
      <c r="A245" s="3"/>
      <c r="B245" s="40"/>
      <c r="C245" s="42"/>
      <c r="E245" s="3"/>
      <c r="L245" s="34"/>
      <c r="M245" s="34"/>
      <c r="O245" s="18"/>
      <c r="P245" s="18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N245" s="3"/>
      <c r="AO245" s="3"/>
    </row>
    <row r="246" spans="1:41" ht="14.25" customHeight="1" x14ac:dyDescent="0.25">
      <c r="A246" s="3"/>
      <c r="B246" s="40"/>
      <c r="C246" s="42"/>
      <c r="E246" s="3"/>
      <c r="L246" s="34"/>
      <c r="M246" s="34"/>
      <c r="O246" s="18"/>
      <c r="P246" s="18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N246" s="3"/>
      <c r="AO246" s="3"/>
    </row>
    <row r="247" spans="1:41" ht="14.25" customHeight="1" x14ac:dyDescent="0.25">
      <c r="A247" s="3"/>
      <c r="B247" s="40"/>
      <c r="C247" s="42"/>
      <c r="E247" s="3"/>
      <c r="L247" s="34"/>
      <c r="M247" s="34"/>
      <c r="O247" s="18"/>
      <c r="P247" s="18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N247" s="3"/>
      <c r="AO247" s="3"/>
    </row>
    <row r="248" spans="1:41" ht="14.25" customHeight="1" x14ac:dyDescent="0.25">
      <c r="A248" s="3"/>
      <c r="B248" s="40"/>
      <c r="C248" s="42"/>
      <c r="E248" s="3"/>
      <c r="L248" s="34"/>
      <c r="M248" s="34"/>
      <c r="O248" s="18"/>
      <c r="P248" s="18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N248" s="3"/>
      <c r="AO248" s="3"/>
    </row>
    <row r="249" spans="1:41" ht="14.25" customHeight="1" x14ac:dyDescent="0.25">
      <c r="A249" s="3"/>
      <c r="B249" s="40"/>
      <c r="C249" s="42"/>
      <c r="E249" s="3"/>
      <c r="L249" s="34"/>
      <c r="M249" s="34"/>
      <c r="O249" s="18"/>
      <c r="P249" s="18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N249" s="3"/>
      <c r="AO249" s="3"/>
    </row>
    <row r="250" spans="1:41" ht="14.25" customHeight="1" x14ac:dyDescent="0.25">
      <c r="A250" s="3"/>
      <c r="B250" s="40"/>
      <c r="C250" s="42"/>
      <c r="E250" s="3"/>
      <c r="L250" s="34"/>
      <c r="M250" s="34"/>
      <c r="O250" s="18"/>
      <c r="P250" s="18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N250" s="3"/>
      <c r="AO250" s="3"/>
    </row>
    <row r="251" spans="1:41" ht="14.25" customHeight="1" x14ac:dyDescent="0.25">
      <c r="A251" s="3"/>
      <c r="B251" s="40"/>
      <c r="C251" s="42"/>
      <c r="E251" s="3"/>
      <c r="L251" s="34"/>
      <c r="M251" s="34"/>
      <c r="O251" s="18"/>
      <c r="P251" s="18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N251" s="3"/>
      <c r="AO251" s="3"/>
    </row>
    <row r="252" spans="1:41" ht="14.25" customHeight="1" x14ac:dyDescent="0.25">
      <c r="A252" s="3"/>
      <c r="B252" s="40"/>
      <c r="C252" s="42"/>
      <c r="E252" s="3"/>
      <c r="L252" s="34"/>
      <c r="M252" s="34"/>
      <c r="O252" s="18"/>
      <c r="P252" s="18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N252" s="3"/>
      <c r="AO252" s="3"/>
    </row>
    <row r="253" spans="1:41" ht="14.25" customHeight="1" x14ac:dyDescent="0.25">
      <c r="A253" s="3"/>
      <c r="B253" s="40"/>
      <c r="C253" s="42"/>
      <c r="E253" s="3"/>
      <c r="L253" s="34"/>
      <c r="M253" s="34"/>
      <c r="O253" s="18"/>
      <c r="P253" s="18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N253" s="3"/>
      <c r="AO253" s="3"/>
    </row>
    <row r="254" spans="1:41" ht="14.25" customHeight="1" x14ac:dyDescent="0.25">
      <c r="A254" s="3"/>
      <c r="B254" s="40"/>
      <c r="C254" s="42"/>
      <c r="E254" s="3"/>
      <c r="L254" s="34"/>
      <c r="M254" s="34"/>
      <c r="O254" s="18"/>
      <c r="P254" s="18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N254" s="3"/>
      <c r="AO254" s="3"/>
    </row>
    <row r="255" spans="1:41" ht="14.25" customHeight="1" x14ac:dyDescent="0.25">
      <c r="A255" s="3"/>
      <c r="B255" s="40"/>
      <c r="C255" s="42"/>
      <c r="E255" s="3"/>
      <c r="L255" s="34"/>
      <c r="M255" s="34"/>
      <c r="O255" s="18"/>
      <c r="P255" s="18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N255" s="3"/>
      <c r="AO255" s="3"/>
    </row>
    <row r="256" spans="1:41" ht="14.25" customHeight="1" x14ac:dyDescent="0.25">
      <c r="A256" s="3"/>
      <c r="B256" s="40"/>
      <c r="C256" s="42"/>
      <c r="E256" s="3"/>
      <c r="L256" s="34"/>
      <c r="M256" s="34"/>
      <c r="O256" s="18"/>
      <c r="P256" s="18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N256" s="3"/>
      <c r="AO256" s="3"/>
    </row>
    <row r="257" spans="1:41" ht="14.25" customHeight="1" x14ac:dyDescent="0.25">
      <c r="A257" s="3"/>
      <c r="B257" s="40"/>
      <c r="C257" s="42"/>
      <c r="E257" s="3"/>
      <c r="L257" s="34"/>
      <c r="M257" s="34"/>
      <c r="O257" s="18"/>
      <c r="P257" s="18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N257" s="3"/>
      <c r="AO257" s="3"/>
    </row>
    <row r="258" spans="1:41" ht="14.25" customHeight="1" x14ac:dyDescent="0.25">
      <c r="A258" s="3"/>
      <c r="B258" s="40"/>
      <c r="C258" s="42"/>
      <c r="E258" s="3"/>
      <c r="L258" s="34"/>
      <c r="M258" s="34"/>
      <c r="O258" s="18"/>
      <c r="P258" s="18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N258" s="3"/>
      <c r="AO258" s="3"/>
    </row>
    <row r="259" spans="1:41" ht="14.25" customHeight="1" x14ac:dyDescent="0.25">
      <c r="A259" s="3"/>
      <c r="B259" s="40"/>
      <c r="C259" s="42"/>
      <c r="E259" s="3"/>
      <c r="L259" s="34"/>
      <c r="M259" s="34"/>
      <c r="O259" s="18"/>
      <c r="P259" s="18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N259" s="3"/>
      <c r="AO259" s="3"/>
    </row>
    <row r="260" spans="1:41" ht="14.25" customHeight="1" x14ac:dyDescent="0.25">
      <c r="A260" s="3"/>
      <c r="B260" s="40"/>
      <c r="C260" s="42"/>
      <c r="E260" s="3"/>
      <c r="L260" s="34"/>
      <c r="M260" s="34"/>
      <c r="O260" s="18"/>
      <c r="P260" s="18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N260" s="3"/>
      <c r="AO260" s="3"/>
    </row>
    <row r="261" spans="1:41" ht="14.25" customHeight="1" x14ac:dyDescent="0.25">
      <c r="A261" s="3"/>
      <c r="B261" s="40"/>
      <c r="C261" s="42"/>
      <c r="E261" s="3"/>
      <c r="L261" s="34"/>
      <c r="M261" s="34"/>
      <c r="O261" s="18"/>
      <c r="P261" s="18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N261" s="3"/>
      <c r="AO261" s="3"/>
    </row>
    <row r="262" spans="1:41" ht="14.25" customHeight="1" x14ac:dyDescent="0.25">
      <c r="A262" s="3"/>
      <c r="B262" s="40"/>
      <c r="C262" s="42"/>
      <c r="E262" s="3"/>
      <c r="L262" s="34"/>
      <c r="M262" s="34"/>
      <c r="O262" s="18"/>
      <c r="P262" s="18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N262" s="3"/>
      <c r="AO262" s="3"/>
    </row>
    <row r="263" spans="1:41" ht="14.25" customHeight="1" x14ac:dyDescent="0.25">
      <c r="A263" s="3"/>
      <c r="B263" s="40"/>
      <c r="C263" s="42"/>
      <c r="E263" s="3"/>
      <c r="L263" s="34"/>
      <c r="M263" s="34"/>
      <c r="O263" s="18"/>
      <c r="P263" s="18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N263" s="3"/>
      <c r="AO263" s="3"/>
    </row>
    <row r="264" spans="1:41" ht="14.25" customHeight="1" x14ac:dyDescent="0.25">
      <c r="A264" s="3"/>
      <c r="B264" s="40"/>
      <c r="C264" s="42"/>
      <c r="E264" s="3"/>
      <c r="L264" s="34"/>
      <c r="M264" s="34"/>
      <c r="O264" s="18"/>
      <c r="P264" s="18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N264" s="3"/>
      <c r="AO264" s="3"/>
    </row>
    <row r="265" spans="1:41" ht="14.25" customHeight="1" x14ac:dyDescent="0.25">
      <c r="A265" s="3"/>
      <c r="B265" s="40"/>
      <c r="C265" s="42"/>
      <c r="E265" s="3"/>
      <c r="L265" s="34"/>
      <c r="M265" s="34"/>
      <c r="O265" s="18"/>
      <c r="P265" s="18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N265" s="3"/>
      <c r="AO265" s="3"/>
    </row>
    <row r="266" spans="1:41" ht="14.25" customHeight="1" x14ac:dyDescent="0.25">
      <c r="A266" s="3"/>
      <c r="B266" s="40"/>
      <c r="C266" s="42"/>
      <c r="E266" s="3"/>
      <c r="L266" s="34"/>
      <c r="M266" s="34"/>
      <c r="O266" s="18"/>
      <c r="P266" s="18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N266" s="3"/>
      <c r="AO266" s="3"/>
    </row>
    <row r="267" spans="1:41" ht="14.25" customHeight="1" x14ac:dyDescent="0.25">
      <c r="A267" s="3"/>
      <c r="B267" s="40"/>
      <c r="C267" s="42"/>
      <c r="E267" s="3"/>
      <c r="L267" s="34"/>
      <c r="M267" s="34"/>
      <c r="O267" s="18"/>
      <c r="P267" s="18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N267" s="3"/>
      <c r="AO267" s="3"/>
    </row>
    <row r="268" spans="1:41" ht="14.25" customHeight="1" x14ac:dyDescent="0.25">
      <c r="A268" s="3"/>
      <c r="B268" s="40"/>
      <c r="C268" s="42"/>
      <c r="E268" s="3"/>
      <c r="L268" s="34"/>
      <c r="M268" s="34"/>
      <c r="O268" s="18"/>
      <c r="P268" s="18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N268" s="3"/>
      <c r="AO268" s="3"/>
    </row>
    <row r="269" spans="1:41" ht="14.25" customHeight="1" x14ac:dyDescent="0.25">
      <c r="A269" s="3"/>
      <c r="B269" s="40"/>
      <c r="C269" s="42"/>
      <c r="E269" s="3"/>
      <c r="L269" s="34"/>
      <c r="M269" s="34"/>
      <c r="O269" s="18"/>
      <c r="P269" s="18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N269" s="3"/>
      <c r="AO269" s="3"/>
    </row>
    <row r="270" spans="1:41" ht="14.25" customHeight="1" x14ac:dyDescent="0.25">
      <c r="A270" s="3"/>
      <c r="B270" s="40"/>
      <c r="C270" s="42"/>
      <c r="E270" s="3"/>
      <c r="L270" s="34"/>
      <c r="M270" s="34"/>
      <c r="O270" s="18"/>
      <c r="P270" s="18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N270" s="3"/>
      <c r="AO270" s="3"/>
    </row>
    <row r="271" spans="1:41" ht="14.25" customHeight="1" x14ac:dyDescent="0.25">
      <c r="A271" s="3"/>
      <c r="B271" s="40"/>
      <c r="C271" s="42"/>
      <c r="E271" s="3"/>
      <c r="L271" s="34"/>
      <c r="M271" s="34"/>
      <c r="O271" s="18"/>
      <c r="P271" s="18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N271" s="3"/>
      <c r="AO271" s="3"/>
    </row>
    <row r="272" spans="1:41" ht="14.25" customHeight="1" x14ac:dyDescent="0.25">
      <c r="A272" s="3"/>
      <c r="B272" s="40"/>
      <c r="C272" s="42"/>
      <c r="E272" s="3"/>
      <c r="L272" s="34"/>
      <c r="M272" s="34"/>
      <c r="O272" s="18"/>
      <c r="P272" s="18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N272" s="3"/>
      <c r="AO272" s="3"/>
    </row>
    <row r="273" spans="1:41" ht="14.25" customHeight="1" x14ac:dyDescent="0.25">
      <c r="A273" s="3"/>
      <c r="B273" s="40"/>
      <c r="C273" s="42"/>
      <c r="E273" s="3"/>
      <c r="L273" s="34"/>
      <c r="M273" s="34"/>
      <c r="O273" s="18"/>
      <c r="P273" s="18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N273" s="3"/>
      <c r="AO273" s="3"/>
    </row>
    <row r="274" spans="1:41" ht="14.25" customHeight="1" x14ac:dyDescent="0.25">
      <c r="A274" s="3"/>
      <c r="B274" s="40"/>
      <c r="C274" s="42"/>
      <c r="E274" s="3"/>
      <c r="L274" s="34"/>
      <c r="M274" s="34"/>
      <c r="O274" s="18"/>
      <c r="P274" s="18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N274" s="3"/>
      <c r="AO274" s="3"/>
    </row>
    <row r="275" spans="1:41" ht="14.25" customHeight="1" x14ac:dyDescent="0.25">
      <c r="A275" s="3"/>
      <c r="B275" s="40"/>
      <c r="C275" s="42"/>
      <c r="E275" s="3"/>
      <c r="L275" s="34"/>
      <c r="M275" s="34"/>
      <c r="O275" s="18"/>
      <c r="P275" s="18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N275" s="3"/>
      <c r="AO275" s="3"/>
    </row>
    <row r="276" spans="1:41" ht="14.25" customHeight="1" x14ac:dyDescent="0.25">
      <c r="A276" s="3"/>
      <c r="B276" s="40"/>
      <c r="C276" s="42"/>
      <c r="E276" s="3"/>
      <c r="L276" s="34"/>
      <c r="M276" s="34"/>
      <c r="O276" s="18"/>
      <c r="P276" s="18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N276" s="3"/>
      <c r="AO276" s="3"/>
    </row>
    <row r="277" spans="1:41" ht="14.25" customHeight="1" x14ac:dyDescent="0.25">
      <c r="A277" s="3"/>
      <c r="B277" s="40"/>
      <c r="C277" s="42"/>
      <c r="E277" s="3"/>
      <c r="L277" s="34"/>
      <c r="M277" s="34"/>
      <c r="O277" s="18"/>
      <c r="P277" s="18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N277" s="3"/>
      <c r="AO277" s="3"/>
    </row>
    <row r="278" spans="1:41" ht="14.25" customHeight="1" x14ac:dyDescent="0.25">
      <c r="A278" s="3"/>
      <c r="B278" s="40"/>
      <c r="C278" s="42"/>
      <c r="E278" s="3"/>
      <c r="L278" s="34"/>
      <c r="M278" s="34"/>
      <c r="O278" s="18"/>
      <c r="P278" s="18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N278" s="3"/>
      <c r="AO278" s="3"/>
    </row>
    <row r="279" spans="1:41" ht="14.25" customHeight="1" x14ac:dyDescent="0.25">
      <c r="A279" s="3"/>
      <c r="B279" s="40"/>
      <c r="C279" s="42"/>
      <c r="E279" s="3"/>
      <c r="L279" s="34"/>
      <c r="M279" s="34"/>
      <c r="O279" s="18"/>
      <c r="P279" s="18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N279" s="3"/>
      <c r="AO279" s="3"/>
    </row>
    <row r="280" spans="1:41" ht="14.25" customHeight="1" x14ac:dyDescent="0.25">
      <c r="A280" s="3"/>
      <c r="B280" s="40"/>
      <c r="C280" s="42"/>
      <c r="E280" s="3"/>
      <c r="L280" s="34"/>
      <c r="M280" s="34"/>
      <c r="O280" s="18"/>
      <c r="P280" s="18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N280" s="3"/>
      <c r="AO280" s="3"/>
    </row>
    <row r="281" spans="1:41" ht="14.25" customHeight="1" x14ac:dyDescent="0.25">
      <c r="A281" s="3"/>
      <c r="B281" s="40"/>
      <c r="C281" s="42"/>
      <c r="E281" s="3"/>
      <c r="L281" s="34"/>
      <c r="M281" s="34"/>
      <c r="O281" s="18"/>
      <c r="P281" s="18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N281" s="3"/>
      <c r="AO281" s="3"/>
    </row>
    <row r="282" spans="1:41" ht="14.25" customHeight="1" x14ac:dyDescent="0.25">
      <c r="A282" s="3"/>
      <c r="B282" s="40"/>
      <c r="C282" s="42"/>
      <c r="E282" s="3"/>
      <c r="L282" s="34"/>
      <c r="M282" s="34"/>
      <c r="O282" s="18"/>
      <c r="P282" s="18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N282" s="3"/>
      <c r="AO282" s="3"/>
    </row>
    <row r="283" spans="1:41" ht="14.25" customHeight="1" x14ac:dyDescent="0.25">
      <c r="A283" s="3"/>
      <c r="B283" s="40"/>
      <c r="C283" s="42"/>
      <c r="E283" s="3"/>
      <c r="L283" s="34"/>
      <c r="M283" s="34"/>
      <c r="O283" s="18"/>
      <c r="P283" s="18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N283" s="3"/>
      <c r="AO283" s="3"/>
    </row>
    <row r="284" spans="1:41" ht="14.25" customHeight="1" x14ac:dyDescent="0.25">
      <c r="A284" s="3"/>
      <c r="B284" s="40"/>
      <c r="C284" s="42"/>
      <c r="E284" s="3"/>
      <c r="L284" s="34"/>
      <c r="M284" s="34"/>
      <c r="O284" s="18"/>
      <c r="P284" s="18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N284" s="3"/>
      <c r="AO284" s="3"/>
    </row>
    <row r="285" spans="1:41" ht="14.25" customHeight="1" x14ac:dyDescent="0.25">
      <c r="A285" s="3"/>
      <c r="B285" s="40"/>
      <c r="C285" s="42"/>
      <c r="E285" s="3"/>
      <c r="L285" s="34"/>
      <c r="M285" s="34"/>
      <c r="O285" s="18"/>
      <c r="P285" s="18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N285" s="3"/>
      <c r="AO285" s="3"/>
    </row>
    <row r="286" spans="1:41" ht="14.25" customHeight="1" x14ac:dyDescent="0.25">
      <c r="A286" s="3"/>
      <c r="B286" s="40"/>
      <c r="C286" s="42"/>
      <c r="E286" s="3"/>
      <c r="L286" s="34"/>
      <c r="M286" s="34"/>
      <c r="O286" s="18"/>
      <c r="P286" s="18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N286" s="3"/>
      <c r="AO286" s="3"/>
    </row>
    <row r="287" spans="1:41" ht="14.25" customHeight="1" x14ac:dyDescent="0.25">
      <c r="A287" s="3"/>
      <c r="B287" s="40"/>
      <c r="C287" s="42"/>
      <c r="E287" s="3"/>
      <c r="L287" s="34"/>
      <c r="M287" s="34"/>
      <c r="O287" s="18"/>
      <c r="P287" s="18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N287" s="3"/>
      <c r="AO287" s="3"/>
    </row>
    <row r="288" spans="1:41" ht="14.25" customHeight="1" x14ac:dyDescent="0.25">
      <c r="A288" s="3"/>
      <c r="B288" s="40"/>
      <c r="C288" s="42"/>
      <c r="E288" s="3"/>
      <c r="L288" s="34"/>
      <c r="M288" s="34"/>
      <c r="O288" s="18"/>
      <c r="P288" s="18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N288" s="3"/>
      <c r="AO288" s="3"/>
    </row>
    <row r="289" spans="1:41" ht="14.25" customHeight="1" x14ac:dyDescent="0.25">
      <c r="A289" s="3"/>
      <c r="B289" s="40"/>
      <c r="C289" s="42"/>
      <c r="E289" s="3"/>
      <c r="L289" s="34"/>
      <c r="M289" s="34"/>
      <c r="O289" s="18"/>
      <c r="P289" s="18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N289" s="3"/>
      <c r="AO289" s="3"/>
    </row>
    <row r="290" spans="1:41" ht="14.25" customHeight="1" x14ac:dyDescent="0.25">
      <c r="A290" s="3"/>
      <c r="B290" s="40"/>
      <c r="C290" s="42"/>
      <c r="E290" s="3"/>
      <c r="L290" s="34"/>
      <c r="M290" s="34"/>
      <c r="O290" s="18"/>
      <c r="P290" s="18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N290" s="3"/>
      <c r="AO290" s="3"/>
    </row>
    <row r="291" spans="1:41" ht="14.25" customHeight="1" x14ac:dyDescent="0.25">
      <c r="A291" s="3"/>
      <c r="B291" s="40"/>
      <c r="C291" s="42"/>
      <c r="E291" s="3"/>
      <c r="L291" s="34"/>
      <c r="M291" s="34"/>
      <c r="O291" s="18"/>
      <c r="P291" s="18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N291" s="3"/>
      <c r="AO291" s="3"/>
    </row>
    <row r="292" spans="1:41" ht="14.25" customHeight="1" x14ac:dyDescent="0.25">
      <c r="A292" s="3"/>
      <c r="B292" s="40"/>
      <c r="C292" s="42"/>
      <c r="E292" s="3"/>
      <c r="L292" s="34"/>
      <c r="M292" s="34"/>
      <c r="O292" s="18"/>
      <c r="P292" s="18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N292" s="3"/>
      <c r="AO292" s="3"/>
    </row>
    <row r="293" spans="1:41" ht="14.25" customHeight="1" x14ac:dyDescent="0.25">
      <c r="A293" s="3"/>
      <c r="B293" s="40"/>
      <c r="C293" s="42"/>
      <c r="E293" s="3"/>
      <c r="L293" s="34"/>
      <c r="M293" s="34"/>
      <c r="O293" s="18"/>
      <c r="P293" s="18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N293" s="3"/>
      <c r="AO293" s="3"/>
    </row>
    <row r="294" spans="1:41" ht="14.25" customHeight="1" x14ac:dyDescent="0.25">
      <c r="A294" s="3"/>
      <c r="B294" s="40"/>
      <c r="C294" s="42"/>
      <c r="E294" s="3"/>
      <c r="L294" s="34"/>
      <c r="M294" s="34"/>
      <c r="O294" s="18"/>
      <c r="P294" s="18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N294" s="3"/>
      <c r="AO294" s="3"/>
    </row>
    <row r="295" spans="1:41" ht="14.25" customHeight="1" x14ac:dyDescent="0.25">
      <c r="A295" s="3"/>
      <c r="B295" s="40"/>
      <c r="C295" s="42"/>
      <c r="E295" s="3"/>
      <c r="L295" s="34"/>
      <c r="M295" s="34"/>
      <c r="O295" s="18"/>
      <c r="P295" s="18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N295" s="3"/>
      <c r="AO295" s="3"/>
    </row>
    <row r="296" spans="1:41" ht="14.25" customHeight="1" x14ac:dyDescent="0.25">
      <c r="A296" s="3"/>
      <c r="B296" s="40"/>
      <c r="C296" s="42"/>
      <c r="E296" s="3"/>
      <c r="L296" s="34"/>
      <c r="M296" s="34"/>
      <c r="O296" s="18"/>
      <c r="P296" s="18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N296" s="3"/>
      <c r="AO296" s="3"/>
    </row>
    <row r="297" spans="1:41" ht="14.25" customHeight="1" x14ac:dyDescent="0.25">
      <c r="A297" s="3"/>
      <c r="B297" s="40"/>
      <c r="C297" s="42"/>
      <c r="E297" s="3"/>
      <c r="L297" s="34"/>
      <c r="M297" s="34"/>
      <c r="O297" s="18"/>
      <c r="P297" s="18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N297" s="3"/>
      <c r="AO297" s="3"/>
    </row>
    <row r="298" spans="1:41" ht="14.25" customHeight="1" x14ac:dyDescent="0.25">
      <c r="A298" s="3"/>
      <c r="B298" s="40"/>
      <c r="C298" s="42"/>
      <c r="E298" s="3"/>
      <c r="L298" s="34"/>
      <c r="M298" s="34"/>
      <c r="O298" s="18"/>
      <c r="P298" s="18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N298" s="3"/>
      <c r="AO298" s="3"/>
    </row>
    <row r="299" spans="1:41" ht="14.25" customHeight="1" x14ac:dyDescent="0.25">
      <c r="A299" s="3"/>
      <c r="B299" s="40"/>
      <c r="C299" s="42"/>
      <c r="E299" s="3"/>
      <c r="L299" s="34"/>
      <c r="M299" s="34"/>
      <c r="O299" s="18"/>
      <c r="P299" s="18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N299" s="3"/>
      <c r="AO299" s="3"/>
    </row>
    <row r="300" spans="1:41" ht="14.25" customHeight="1" x14ac:dyDescent="0.25">
      <c r="A300" s="3"/>
      <c r="B300" s="40"/>
      <c r="C300" s="42"/>
      <c r="E300" s="3"/>
      <c r="L300" s="34"/>
      <c r="M300" s="34"/>
      <c r="O300" s="18"/>
      <c r="P300" s="18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N300" s="3"/>
      <c r="AO300" s="3"/>
    </row>
    <row r="301" spans="1:41" ht="14.25" customHeight="1" x14ac:dyDescent="0.25">
      <c r="A301" s="3"/>
      <c r="B301" s="40"/>
      <c r="C301" s="42"/>
      <c r="E301" s="3"/>
      <c r="L301" s="34"/>
      <c r="M301" s="34"/>
      <c r="O301" s="18"/>
      <c r="P301" s="18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N301" s="3"/>
      <c r="AO301" s="3"/>
    </row>
    <row r="302" spans="1:41" ht="14.25" customHeight="1" x14ac:dyDescent="0.25">
      <c r="A302" s="3"/>
      <c r="B302" s="40"/>
      <c r="C302" s="42"/>
      <c r="E302" s="3"/>
      <c r="L302" s="34"/>
      <c r="M302" s="34"/>
      <c r="O302" s="18"/>
      <c r="P302" s="18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N302" s="3"/>
      <c r="AO302" s="3"/>
    </row>
    <row r="303" spans="1:41" ht="14.25" customHeight="1" x14ac:dyDescent="0.25">
      <c r="A303" s="3"/>
      <c r="B303" s="40"/>
      <c r="C303" s="42"/>
      <c r="E303" s="3"/>
      <c r="L303" s="34"/>
      <c r="M303" s="34"/>
      <c r="O303" s="18"/>
      <c r="P303" s="18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N303" s="3"/>
      <c r="AO303" s="3"/>
    </row>
    <row r="304" spans="1:41" ht="14.25" customHeight="1" x14ac:dyDescent="0.25">
      <c r="A304" s="3"/>
      <c r="B304" s="40"/>
      <c r="C304" s="42"/>
      <c r="E304" s="3"/>
      <c r="L304" s="34"/>
      <c r="M304" s="34"/>
      <c r="O304" s="18"/>
      <c r="P304" s="18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N304" s="3"/>
      <c r="AO304" s="3"/>
    </row>
    <row r="305" spans="1:41" ht="14.25" customHeight="1" x14ac:dyDescent="0.25">
      <c r="A305" s="3"/>
      <c r="B305" s="40"/>
      <c r="C305" s="42"/>
      <c r="E305" s="3"/>
      <c r="L305" s="34"/>
      <c r="M305" s="34"/>
      <c r="O305" s="18"/>
      <c r="P305" s="18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N305" s="3"/>
      <c r="AO305" s="3"/>
    </row>
    <row r="306" spans="1:41" ht="14.25" customHeight="1" x14ac:dyDescent="0.25">
      <c r="A306" s="3"/>
      <c r="B306" s="40"/>
      <c r="C306" s="42"/>
      <c r="E306" s="3"/>
      <c r="L306" s="34"/>
      <c r="M306" s="34"/>
      <c r="O306" s="18"/>
      <c r="P306" s="18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N306" s="3"/>
      <c r="AO306" s="3"/>
    </row>
    <row r="307" spans="1:41" ht="14.25" customHeight="1" x14ac:dyDescent="0.25">
      <c r="A307" s="3"/>
      <c r="B307" s="40"/>
      <c r="C307" s="42"/>
      <c r="E307" s="3"/>
      <c r="L307" s="34"/>
      <c r="M307" s="34"/>
      <c r="O307" s="18"/>
      <c r="P307" s="18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N307" s="3"/>
      <c r="AO307" s="3"/>
    </row>
    <row r="308" spans="1:41" ht="14.25" customHeight="1" x14ac:dyDescent="0.25">
      <c r="A308" s="3"/>
      <c r="B308" s="40"/>
      <c r="C308" s="42"/>
      <c r="E308" s="3"/>
      <c r="L308" s="34"/>
      <c r="M308" s="34"/>
      <c r="O308" s="18"/>
      <c r="P308" s="18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N308" s="3"/>
      <c r="AO308" s="3"/>
    </row>
    <row r="309" spans="1:41" ht="14.25" customHeight="1" x14ac:dyDescent="0.25">
      <c r="A309" s="3"/>
      <c r="B309" s="40"/>
      <c r="C309" s="42"/>
      <c r="E309" s="3"/>
      <c r="L309" s="34"/>
      <c r="M309" s="34"/>
      <c r="O309" s="18"/>
      <c r="P309" s="18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N309" s="3"/>
      <c r="AO309" s="3"/>
    </row>
    <row r="310" spans="1:41" ht="14.25" customHeight="1" x14ac:dyDescent="0.25">
      <c r="A310" s="3"/>
      <c r="B310" s="40"/>
      <c r="C310" s="42"/>
      <c r="E310" s="3"/>
      <c r="L310" s="34"/>
      <c r="M310" s="34"/>
      <c r="O310" s="18"/>
      <c r="P310" s="18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N310" s="3"/>
      <c r="AO310" s="3"/>
    </row>
    <row r="311" spans="1:41" ht="14.25" customHeight="1" x14ac:dyDescent="0.25">
      <c r="A311" s="3"/>
      <c r="B311" s="40"/>
      <c r="C311" s="42"/>
      <c r="E311" s="3"/>
      <c r="L311" s="34"/>
      <c r="M311" s="34"/>
      <c r="O311" s="18"/>
      <c r="P311" s="18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N311" s="3"/>
      <c r="AO311" s="3"/>
    </row>
    <row r="312" spans="1:41" ht="14.25" customHeight="1" x14ac:dyDescent="0.25">
      <c r="A312" s="3"/>
      <c r="B312" s="40"/>
      <c r="C312" s="42"/>
      <c r="E312" s="3"/>
      <c r="L312" s="34"/>
      <c r="M312" s="34"/>
      <c r="O312" s="18"/>
      <c r="P312" s="18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N312" s="3"/>
      <c r="AO312" s="3"/>
    </row>
    <row r="313" spans="1:41" ht="14.25" customHeight="1" x14ac:dyDescent="0.25">
      <c r="A313" s="3"/>
      <c r="B313" s="40"/>
      <c r="C313" s="42"/>
      <c r="E313" s="3"/>
      <c r="L313" s="34"/>
      <c r="M313" s="34"/>
      <c r="O313" s="18"/>
      <c r="P313" s="18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N313" s="3"/>
      <c r="AO313" s="3"/>
    </row>
    <row r="314" spans="1:41" ht="14.25" customHeight="1" x14ac:dyDescent="0.25">
      <c r="A314" s="3"/>
      <c r="B314" s="40"/>
      <c r="C314" s="42"/>
      <c r="E314" s="3"/>
      <c r="L314" s="34"/>
      <c r="M314" s="34"/>
      <c r="O314" s="18"/>
      <c r="P314" s="18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N314" s="3"/>
      <c r="AO314" s="3"/>
    </row>
    <row r="315" spans="1:41" ht="14.25" customHeight="1" x14ac:dyDescent="0.25">
      <c r="A315" s="3"/>
      <c r="B315" s="40"/>
      <c r="C315" s="42"/>
      <c r="E315" s="3"/>
      <c r="L315" s="34"/>
      <c r="M315" s="34"/>
      <c r="O315" s="18"/>
      <c r="P315" s="18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N315" s="3"/>
      <c r="AO315" s="3"/>
    </row>
    <row r="316" spans="1:41" ht="14.25" customHeight="1" x14ac:dyDescent="0.25">
      <c r="A316" s="3"/>
      <c r="B316" s="40"/>
      <c r="C316" s="42"/>
      <c r="E316" s="3"/>
      <c r="L316" s="34"/>
      <c r="M316" s="34"/>
      <c r="O316" s="18"/>
      <c r="P316" s="18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N316" s="3"/>
      <c r="AO316" s="3"/>
    </row>
    <row r="317" spans="1:41" ht="14.25" customHeight="1" x14ac:dyDescent="0.25">
      <c r="A317" s="3"/>
      <c r="B317" s="40"/>
      <c r="C317" s="42"/>
      <c r="E317" s="3"/>
      <c r="L317" s="34"/>
      <c r="M317" s="34"/>
      <c r="O317" s="18"/>
      <c r="P317" s="18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N317" s="3"/>
      <c r="AO317" s="3"/>
    </row>
    <row r="318" spans="1:41" ht="14.25" customHeight="1" x14ac:dyDescent="0.25">
      <c r="A318" s="3"/>
      <c r="B318" s="40"/>
      <c r="C318" s="42"/>
      <c r="E318" s="3"/>
      <c r="L318" s="34"/>
      <c r="M318" s="34"/>
      <c r="O318" s="18"/>
      <c r="P318" s="18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N318" s="3"/>
      <c r="AO318" s="3"/>
    </row>
    <row r="319" spans="1:41" ht="14.25" customHeight="1" x14ac:dyDescent="0.25">
      <c r="A319" s="3"/>
      <c r="B319" s="40"/>
      <c r="C319" s="42"/>
      <c r="E319" s="3"/>
      <c r="L319" s="34"/>
      <c r="M319" s="34"/>
      <c r="O319" s="18"/>
      <c r="P319" s="18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N319" s="3"/>
      <c r="AO319" s="3"/>
    </row>
    <row r="320" spans="1:41" ht="14.25" customHeight="1" x14ac:dyDescent="0.25">
      <c r="A320" s="3"/>
      <c r="B320" s="40"/>
      <c r="C320" s="42"/>
      <c r="E320" s="3"/>
      <c r="L320" s="34"/>
      <c r="M320" s="34"/>
      <c r="O320" s="18"/>
      <c r="P320" s="18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N320" s="3"/>
      <c r="AO320" s="3"/>
    </row>
    <row r="321" spans="1:41" ht="14.25" customHeight="1" x14ac:dyDescent="0.25">
      <c r="A321" s="3"/>
      <c r="B321" s="40"/>
      <c r="C321" s="42"/>
      <c r="E321" s="3"/>
      <c r="L321" s="34"/>
      <c r="M321" s="34"/>
      <c r="O321" s="18"/>
      <c r="P321" s="18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N321" s="3"/>
      <c r="AO321" s="3"/>
    </row>
    <row r="322" spans="1:41" ht="14.25" customHeight="1" x14ac:dyDescent="0.25">
      <c r="A322" s="3"/>
      <c r="B322" s="40"/>
      <c r="C322" s="42"/>
      <c r="E322" s="3"/>
      <c r="L322" s="34"/>
      <c r="M322" s="34"/>
      <c r="O322" s="18"/>
      <c r="P322" s="18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N322" s="3"/>
      <c r="AO322" s="3"/>
    </row>
    <row r="323" spans="1:41" ht="14.25" customHeight="1" x14ac:dyDescent="0.25">
      <c r="A323" s="3"/>
      <c r="B323" s="40"/>
      <c r="C323" s="42"/>
      <c r="E323" s="3"/>
      <c r="L323" s="34"/>
      <c r="M323" s="34"/>
      <c r="O323" s="18"/>
      <c r="P323" s="18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N323" s="3"/>
      <c r="AO323" s="3"/>
    </row>
    <row r="324" spans="1:41" ht="14.25" customHeight="1" x14ac:dyDescent="0.25">
      <c r="A324" s="3"/>
      <c r="B324" s="40"/>
      <c r="C324" s="42"/>
      <c r="E324" s="3"/>
      <c r="L324" s="34"/>
      <c r="M324" s="34"/>
      <c r="O324" s="18"/>
      <c r="P324" s="18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N324" s="3"/>
      <c r="AO324" s="3"/>
    </row>
    <row r="325" spans="1:41" ht="14.25" customHeight="1" x14ac:dyDescent="0.25">
      <c r="A325" s="3"/>
      <c r="B325" s="40"/>
      <c r="C325" s="42"/>
      <c r="E325" s="3"/>
      <c r="L325" s="34"/>
      <c r="M325" s="34"/>
      <c r="O325" s="18"/>
      <c r="P325" s="18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N325" s="3"/>
      <c r="AO325" s="3"/>
    </row>
    <row r="326" spans="1:41" ht="14.25" customHeight="1" x14ac:dyDescent="0.25">
      <c r="A326" s="3"/>
      <c r="B326" s="40"/>
      <c r="C326" s="42"/>
      <c r="E326" s="3"/>
      <c r="L326" s="34"/>
      <c r="M326" s="34"/>
      <c r="O326" s="18"/>
      <c r="P326" s="18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N326" s="3"/>
      <c r="AO326" s="3"/>
    </row>
    <row r="327" spans="1:41" ht="14.25" customHeight="1" x14ac:dyDescent="0.25">
      <c r="A327" s="3"/>
      <c r="B327" s="40"/>
      <c r="C327" s="42"/>
      <c r="E327" s="3"/>
      <c r="L327" s="34"/>
      <c r="M327" s="34"/>
      <c r="O327" s="18"/>
      <c r="P327" s="18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N327" s="3"/>
      <c r="AO327" s="3"/>
    </row>
    <row r="328" spans="1:41" ht="14.25" customHeight="1" x14ac:dyDescent="0.25">
      <c r="A328" s="3"/>
      <c r="B328" s="40"/>
      <c r="C328" s="42"/>
      <c r="E328" s="3"/>
      <c r="L328" s="34"/>
      <c r="M328" s="34"/>
      <c r="O328" s="18"/>
      <c r="P328" s="18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N328" s="3"/>
      <c r="AO328" s="3"/>
    </row>
    <row r="329" spans="1:41" ht="14.25" customHeight="1" x14ac:dyDescent="0.25">
      <c r="A329" s="3"/>
      <c r="B329" s="40"/>
      <c r="C329" s="42"/>
      <c r="E329" s="3"/>
      <c r="L329" s="34"/>
      <c r="M329" s="34"/>
      <c r="O329" s="18"/>
      <c r="P329" s="18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N329" s="3"/>
      <c r="AO329" s="3"/>
    </row>
    <row r="330" spans="1:41" ht="14.25" customHeight="1" x14ac:dyDescent="0.25">
      <c r="A330" s="3"/>
      <c r="B330" s="40"/>
      <c r="C330" s="42"/>
      <c r="E330" s="3"/>
      <c r="L330" s="34"/>
      <c r="M330" s="34"/>
      <c r="O330" s="18"/>
      <c r="P330" s="18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N330" s="3"/>
      <c r="AO330" s="3"/>
    </row>
    <row r="331" spans="1:41" ht="14.25" customHeight="1" x14ac:dyDescent="0.25">
      <c r="A331" s="3"/>
      <c r="B331" s="40"/>
      <c r="C331" s="42"/>
      <c r="E331" s="3"/>
      <c r="L331" s="34"/>
      <c r="M331" s="34"/>
      <c r="O331" s="18"/>
      <c r="P331" s="18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N331" s="3"/>
      <c r="AO331" s="3"/>
    </row>
    <row r="332" spans="1:41" ht="14.25" customHeight="1" x14ac:dyDescent="0.25">
      <c r="A332" s="3"/>
      <c r="B332" s="40"/>
      <c r="C332" s="42"/>
      <c r="E332" s="3"/>
      <c r="L332" s="34"/>
      <c r="M332" s="34"/>
      <c r="O332" s="18"/>
      <c r="P332" s="18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N332" s="3"/>
      <c r="AO332" s="3"/>
    </row>
    <row r="333" spans="1:41" ht="14.25" customHeight="1" x14ac:dyDescent="0.25">
      <c r="A333" s="3"/>
      <c r="B333" s="40"/>
      <c r="C333" s="42"/>
      <c r="E333" s="3"/>
      <c r="L333" s="34"/>
      <c r="M333" s="34"/>
      <c r="O333" s="18"/>
      <c r="P333" s="18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N333" s="3"/>
      <c r="AO333" s="3"/>
    </row>
    <row r="334" spans="1:41" ht="14.25" customHeight="1" x14ac:dyDescent="0.25">
      <c r="A334" s="3"/>
      <c r="B334" s="40"/>
      <c r="C334" s="42"/>
      <c r="E334" s="3"/>
      <c r="L334" s="34"/>
      <c r="M334" s="34"/>
      <c r="O334" s="18"/>
      <c r="P334" s="18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N334" s="3"/>
      <c r="AO334" s="3"/>
    </row>
    <row r="335" spans="1:41" ht="14.25" customHeight="1" x14ac:dyDescent="0.25">
      <c r="A335" s="3"/>
      <c r="B335" s="40"/>
      <c r="C335" s="42"/>
      <c r="E335" s="3"/>
      <c r="L335" s="34"/>
      <c r="M335" s="34"/>
      <c r="O335" s="18"/>
      <c r="P335" s="18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N335" s="3"/>
      <c r="AO335" s="3"/>
    </row>
    <row r="336" spans="1:41" ht="14.25" customHeight="1" x14ac:dyDescent="0.25">
      <c r="A336" s="3"/>
      <c r="B336" s="40"/>
      <c r="C336" s="42"/>
      <c r="E336" s="3"/>
      <c r="L336" s="34"/>
      <c r="M336" s="34"/>
      <c r="O336" s="18"/>
      <c r="P336" s="18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N336" s="3"/>
      <c r="AO336" s="3"/>
    </row>
    <row r="337" spans="1:41" ht="14.25" customHeight="1" x14ac:dyDescent="0.25">
      <c r="A337" s="3"/>
      <c r="B337" s="40"/>
      <c r="C337" s="42"/>
      <c r="E337" s="3"/>
      <c r="L337" s="34"/>
      <c r="M337" s="34"/>
      <c r="O337" s="18"/>
      <c r="P337" s="18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N337" s="3"/>
      <c r="AO337" s="3"/>
    </row>
    <row r="338" spans="1:41" ht="14.25" customHeight="1" x14ac:dyDescent="0.25">
      <c r="A338" s="3"/>
      <c r="B338" s="40"/>
      <c r="C338" s="42"/>
      <c r="E338" s="3"/>
      <c r="L338" s="34"/>
      <c r="M338" s="34"/>
      <c r="O338" s="18"/>
      <c r="P338" s="18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N338" s="3"/>
      <c r="AO338" s="3"/>
    </row>
    <row r="339" spans="1:41" ht="14.25" customHeight="1" x14ac:dyDescent="0.25">
      <c r="A339" s="3"/>
      <c r="B339" s="40"/>
      <c r="C339" s="42"/>
      <c r="E339" s="3"/>
      <c r="L339" s="34"/>
      <c r="M339" s="34"/>
      <c r="O339" s="18"/>
      <c r="P339" s="18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N339" s="3"/>
      <c r="AO339" s="3"/>
    </row>
    <row r="340" spans="1:41" ht="14.25" customHeight="1" x14ac:dyDescent="0.25">
      <c r="A340" s="3"/>
      <c r="B340" s="40"/>
      <c r="C340" s="42"/>
      <c r="E340" s="3"/>
      <c r="L340" s="34"/>
      <c r="M340" s="34"/>
      <c r="O340" s="18"/>
      <c r="P340" s="18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N340" s="3"/>
      <c r="AO340" s="3"/>
    </row>
    <row r="341" spans="1:41" ht="14.25" customHeight="1" x14ac:dyDescent="0.25">
      <c r="A341" s="3"/>
      <c r="B341" s="40"/>
      <c r="C341" s="42"/>
      <c r="E341" s="3"/>
      <c r="L341" s="34"/>
      <c r="M341" s="34"/>
      <c r="O341" s="18"/>
      <c r="P341" s="18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N341" s="3"/>
      <c r="AO341" s="3"/>
    </row>
    <row r="342" spans="1:41" ht="14.25" customHeight="1" x14ac:dyDescent="0.25">
      <c r="A342" s="3"/>
      <c r="B342" s="40"/>
      <c r="C342" s="42"/>
      <c r="E342" s="3"/>
      <c r="L342" s="34"/>
      <c r="M342" s="34"/>
      <c r="O342" s="18"/>
      <c r="P342" s="18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N342" s="3"/>
      <c r="AO342" s="3"/>
    </row>
    <row r="343" spans="1:41" ht="14.25" customHeight="1" x14ac:dyDescent="0.25">
      <c r="A343" s="3"/>
      <c r="B343" s="40"/>
      <c r="C343" s="42"/>
      <c r="E343" s="3"/>
      <c r="L343" s="34"/>
      <c r="M343" s="34"/>
      <c r="O343" s="18"/>
      <c r="P343" s="18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N343" s="3"/>
      <c r="AO343" s="3"/>
    </row>
    <row r="344" spans="1:41" ht="14.25" customHeight="1" x14ac:dyDescent="0.25">
      <c r="A344" s="3"/>
      <c r="B344" s="40"/>
      <c r="C344" s="42"/>
      <c r="E344" s="3"/>
      <c r="L344" s="34"/>
      <c r="M344" s="34"/>
      <c r="O344" s="18"/>
      <c r="P344" s="18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N344" s="3"/>
      <c r="AO344" s="3"/>
    </row>
    <row r="345" spans="1:41" ht="14.25" customHeight="1" x14ac:dyDescent="0.25">
      <c r="A345" s="3"/>
      <c r="B345" s="40"/>
      <c r="C345" s="42"/>
      <c r="E345" s="3"/>
      <c r="L345" s="34"/>
      <c r="M345" s="34"/>
      <c r="O345" s="18"/>
      <c r="P345" s="18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N345" s="3"/>
      <c r="AO345" s="3"/>
    </row>
    <row r="346" spans="1:41" ht="14.25" customHeight="1" x14ac:dyDescent="0.25">
      <c r="A346" s="3"/>
      <c r="B346" s="40"/>
      <c r="C346" s="42"/>
      <c r="E346" s="3"/>
      <c r="L346" s="34"/>
      <c r="M346" s="34"/>
      <c r="O346" s="18"/>
      <c r="P346" s="18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N346" s="3"/>
      <c r="AO346" s="3"/>
    </row>
    <row r="347" spans="1:41" ht="14.25" customHeight="1" x14ac:dyDescent="0.25">
      <c r="A347" s="3"/>
      <c r="B347" s="40"/>
      <c r="C347" s="42"/>
      <c r="E347" s="3"/>
      <c r="L347" s="34"/>
      <c r="M347" s="34"/>
      <c r="O347" s="18"/>
      <c r="P347" s="18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N347" s="3"/>
      <c r="AO347" s="3"/>
    </row>
    <row r="348" spans="1:41" ht="14.25" customHeight="1" x14ac:dyDescent="0.25">
      <c r="A348" s="3"/>
      <c r="B348" s="40"/>
      <c r="C348" s="42"/>
      <c r="E348" s="3"/>
      <c r="L348" s="34"/>
      <c r="M348" s="34"/>
      <c r="O348" s="18"/>
      <c r="P348" s="18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N348" s="3"/>
      <c r="AO348" s="3"/>
    </row>
    <row r="349" spans="1:41" ht="14.25" customHeight="1" x14ac:dyDescent="0.25">
      <c r="A349" s="3"/>
      <c r="B349" s="40"/>
      <c r="C349" s="42"/>
      <c r="E349" s="3"/>
      <c r="L349" s="34"/>
      <c r="M349" s="34"/>
      <c r="O349" s="18"/>
      <c r="P349" s="18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N349" s="3"/>
      <c r="AO349" s="3"/>
    </row>
    <row r="350" spans="1:41" ht="14.25" customHeight="1" x14ac:dyDescent="0.25">
      <c r="A350" s="3"/>
      <c r="B350" s="40"/>
      <c r="C350" s="42"/>
      <c r="E350" s="3"/>
      <c r="L350" s="34"/>
      <c r="M350" s="34"/>
      <c r="O350" s="18"/>
      <c r="P350" s="18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N350" s="3"/>
      <c r="AO350" s="3"/>
    </row>
    <row r="351" spans="1:41" ht="14.25" customHeight="1" x14ac:dyDescent="0.25">
      <c r="A351" s="3"/>
      <c r="B351" s="40"/>
      <c r="C351" s="42"/>
      <c r="E351" s="3"/>
      <c r="L351" s="34"/>
      <c r="M351" s="34"/>
      <c r="O351" s="18"/>
      <c r="P351" s="18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N351" s="3"/>
      <c r="AO351" s="3"/>
    </row>
    <row r="352" spans="1:41" ht="14.25" customHeight="1" x14ac:dyDescent="0.25">
      <c r="A352" s="3"/>
      <c r="B352" s="40"/>
      <c r="C352" s="42"/>
      <c r="E352" s="3"/>
      <c r="L352" s="34"/>
      <c r="M352" s="34"/>
      <c r="O352" s="18"/>
      <c r="P352" s="18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N352" s="3"/>
      <c r="AO352" s="3"/>
    </row>
    <row r="353" spans="1:41" ht="14.25" customHeight="1" x14ac:dyDescent="0.25">
      <c r="A353" s="3"/>
      <c r="B353" s="40"/>
      <c r="C353" s="42"/>
      <c r="E353" s="3"/>
      <c r="L353" s="34"/>
      <c r="M353" s="34"/>
      <c r="O353" s="18"/>
      <c r="P353" s="18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N353" s="3"/>
      <c r="AO353" s="3"/>
    </row>
    <row r="354" spans="1:41" ht="14.25" customHeight="1" x14ac:dyDescent="0.25">
      <c r="A354" s="3"/>
      <c r="B354" s="40"/>
      <c r="C354" s="42"/>
      <c r="E354" s="3"/>
      <c r="L354" s="34"/>
      <c r="M354" s="34"/>
      <c r="O354" s="18"/>
      <c r="P354" s="18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N354" s="3"/>
      <c r="AO354" s="3"/>
    </row>
    <row r="355" spans="1:41" ht="14.25" customHeight="1" x14ac:dyDescent="0.25">
      <c r="A355" s="3"/>
      <c r="B355" s="40"/>
      <c r="C355" s="42"/>
      <c r="E355" s="3"/>
      <c r="L355" s="34"/>
      <c r="M355" s="34"/>
      <c r="O355" s="18"/>
      <c r="P355" s="18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N355" s="3"/>
      <c r="AO355" s="3"/>
    </row>
    <row r="356" spans="1:41" ht="14.25" customHeight="1" x14ac:dyDescent="0.25">
      <c r="A356" s="3"/>
      <c r="B356" s="40"/>
      <c r="C356" s="42"/>
      <c r="E356" s="3"/>
      <c r="L356" s="34"/>
      <c r="M356" s="34"/>
      <c r="O356" s="18"/>
      <c r="P356" s="18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N356" s="3"/>
      <c r="AO356" s="3"/>
    </row>
    <row r="357" spans="1:41" ht="14.25" customHeight="1" x14ac:dyDescent="0.25">
      <c r="A357" s="3"/>
      <c r="B357" s="40"/>
      <c r="C357" s="42"/>
      <c r="E357" s="3"/>
      <c r="L357" s="34"/>
      <c r="M357" s="34"/>
      <c r="O357" s="18"/>
      <c r="P357" s="18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N357" s="3"/>
      <c r="AO357" s="3"/>
    </row>
    <row r="358" spans="1:41" ht="14.25" customHeight="1" x14ac:dyDescent="0.25">
      <c r="A358" s="3"/>
      <c r="B358" s="40"/>
      <c r="C358" s="42"/>
      <c r="E358" s="3"/>
      <c r="L358" s="34"/>
      <c r="M358" s="34"/>
      <c r="O358" s="18"/>
      <c r="P358" s="18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N358" s="3"/>
      <c r="AO358" s="3"/>
    </row>
    <row r="359" spans="1:41" ht="14.25" customHeight="1" x14ac:dyDescent="0.25">
      <c r="A359" s="3"/>
      <c r="B359" s="40"/>
      <c r="C359" s="42"/>
      <c r="E359" s="3"/>
      <c r="L359" s="34"/>
      <c r="M359" s="34"/>
      <c r="O359" s="18"/>
      <c r="P359" s="18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N359" s="3"/>
      <c r="AO359" s="3"/>
    </row>
    <row r="360" spans="1:41" ht="14.25" customHeight="1" x14ac:dyDescent="0.25">
      <c r="A360" s="3"/>
      <c r="B360" s="40"/>
      <c r="C360" s="42"/>
      <c r="E360" s="3"/>
      <c r="L360" s="34"/>
      <c r="M360" s="34"/>
      <c r="O360" s="18"/>
      <c r="P360" s="18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N360" s="3"/>
      <c r="AO360" s="3"/>
    </row>
    <row r="361" spans="1:41" ht="14.25" customHeight="1" x14ac:dyDescent="0.25">
      <c r="A361" s="3"/>
      <c r="B361" s="40"/>
      <c r="C361" s="42"/>
      <c r="E361" s="3"/>
      <c r="L361" s="34"/>
      <c r="M361" s="34"/>
      <c r="O361" s="18"/>
      <c r="P361" s="18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N361" s="3"/>
      <c r="AO361" s="3"/>
    </row>
    <row r="362" spans="1:41" ht="14.25" customHeight="1" x14ac:dyDescent="0.25">
      <c r="A362" s="3"/>
      <c r="B362" s="40"/>
      <c r="C362" s="42"/>
      <c r="E362" s="3"/>
      <c r="L362" s="34"/>
      <c r="M362" s="34"/>
      <c r="O362" s="18"/>
      <c r="P362" s="18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N362" s="3"/>
      <c r="AO362" s="3"/>
    </row>
    <row r="363" spans="1:41" ht="14.25" customHeight="1" x14ac:dyDescent="0.25">
      <c r="A363" s="3"/>
      <c r="B363" s="40"/>
      <c r="C363" s="42"/>
      <c r="E363" s="3"/>
      <c r="L363" s="34"/>
      <c r="M363" s="34"/>
      <c r="O363" s="18"/>
      <c r="P363" s="18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N363" s="3"/>
      <c r="AO363" s="3"/>
    </row>
    <row r="364" spans="1:41" ht="14.25" customHeight="1" x14ac:dyDescent="0.25">
      <c r="A364" s="3"/>
      <c r="B364" s="40"/>
      <c r="C364" s="42"/>
      <c r="E364" s="3"/>
      <c r="L364" s="34"/>
      <c r="M364" s="34"/>
      <c r="O364" s="18"/>
      <c r="P364" s="18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N364" s="3"/>
      <c r="AO364" s="3"/>
    </row>
    <row r="365" spans="1:41" ht="14.25" customHeight="1" x14ac:dyDescent="0.25">
      <c r="A365" s="3"/>
      <c r="B365" s="40"/>
      <c r="C365" s="42"/>
      <c r="E365" s="3"/>
      <c r="L365" s="34"/>
      <c r="M365" s="34"/>
      <c r="O365" s="18"/>
      <c r="P365" s="18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N365" s="3"/>
      <c r="AO365" s="3"/>
    </row>
    <row r="366" spans="1:41" ht="14.25" customHeight="1" x14ac:dyDescent="0.25">
      <c r="A366" s="3"/>
      <c r="B366" s="40"/>
      <c r="C366" s="42"/>
      <c r="E366" s="3"/>
      <c r="L366" s="34"/>
      <c r="M366" s="34"/>
      <c r="O366" s="18"/>
      <c r="P366" s="18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N366" s="3"/>
      <c r="AO366" s="3"/>
    </row>
    <row r="367" spans="1:41" ht="14.25" customHeight="1" x14ac:dyDescent="0.25">
      <c r="A367" s="3"/>
      <c r="B367" s="40"/>
      <c r="C367" s="42"/>
      <c r="E367" s="3"/>
      <c r="L367" s="34"/>
      <c r="M367" s="34"/>
      <c r="O367" s="18"/>
      <c r="P367" s="18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N367" s="3"/>
      <c r="AO367" s="3"/>
    </row>
    <row r="368" spans="1:41" ht="14.25" customHeight="1" x14ac:dyDescent="0.25">
      <c r="A368" s="3"/>
      <c r="B368" s="40"/>
      <c r="C368" s="42"/>
      <c r="E368" s="3"/>
      <c r="L368" s="34"/>
      <c r="M368" s="34"/>
      <c r="O368" s="18"/>
      <c r="P368" s="18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N368" s="3"/>
      <c r="AO368" s="3"/>
    </row>
    <row r="369" spans="1:41" ht="14.25" customHeight="1" x14ac:dyDescent="0.25">
      <c r="A369" s="3"/>
      <c r="B369" s="40"/>
      <c r="C369" s="42"/>
      <c r="E369" s="3"/>
      <c r="L369" s="34"/>
      <c r="M369" s="34"/>
      <c r="O369" s="18"/>
      <c r="P369" s="18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N369" s="3"/>
      <c r="AO369" s="3"/>
    </row>
    <row r="370" spans="1:41" ht="14.25" customHeight="1" x14ac:dyDescent="0.25">
      <c r="A370" s="3"/>
      <c r="B370" s="40"/>
      <c r="C370" s="42"/>
      <c r="E370" s="3"/>
      <c r="L370" s="34"/>
      <c r="M370" s="34"/>
      <c r="O370" s="18"/>
      <c r="P370" s="18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N370" s="3"/>
      <c r="AO370" s="3"/>
    </row>
    <row r="371" spans="1:41" ht="14.25" customHeight="1" x14ac:dyDescent="0.25">
      <c r="A371" s="3"/>
      <c r="B371" s="40"/>
      <c r="C371" s="42"/>
      <c r="E371" s="3"/>
      <c r="L371" s="34"/>
      <c r="M371" s="34"/>
      <c r="O371" s="18"/>
      <c r="P371" s="18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N371" s="3"/>
      <c r="AO371" s="3"/>
    </row>
    <row r="372" spans="1:41" ht="14.25" customHeight="1" x14ac:dyDescent="0.25">
      <c r="A372" s="3"/>
      <c r="B372" s="40"/>
      <c r="C372" s="42"/>
      <c r="E372" s="3"/>
      <c r="L372" s="34"/>
      <c r="M372" s="34"/>
      <c r="O372" s="18"/>
      <c r="P372" s="18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N372" s="3"/>
      <c r="AO372" s="3"/>
    </row>
    <row r="373" spans="1:41" ht="14.25" customHeight="1" x14ac:dyDescent="0.25">
      <c r="A373" s="3"/>
      <c r="B373" s="40"/>
      <c r="C373" s="42"/>
      <c r="E373" s="3"/>
      <c r="L373" s="34"/>
      <c r="M373" s="34"/>
      <c r="O373" s="18"/>
      <c r="P373" s="18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N373" s="3"/>
      <c r="AO373" s="3"/>
    </row>
    <row r="374" spans="1:41" ht="14.25" customHeight="1" x14ac:dyDescent="0.25">
      <c r="A374" s="3"/>
      <c r="B374" s="40"/>
      <c r="C374" s="42"/>
      <c r="E374" s="3"/>
      <c r="L374" s="34"/>
      <c r="M374" s="34"/>
      <c r="O374" s="18"/>
      <c r="P374" s="18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N374" s="3"/>
      <c r="AO374" s="3"/>
    </row>
    <row r="375" spans="1:41" ht="14.25" customHeight="1" x14ac:dyDescent="0.25">
      <c r="A375" s="3"/>
      <c r="B375" s="40"/>
      <c r="C375" s="42"/>
      <c r="E375" s="3"/>
      <c r="L375" s="34"/>
      <c r="M375" s="34"/>
      <c r="O375" s="18"/>
      <c r="P375" s="18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N375" s="3"/>
      <c r="AO375" s="3"/>
    </row>
    <row r="376" spans="1:41" ht="14.25" customHeight="1" x14ac:dyDescent="0.25">
      <c r="A376" s="3"/>
      <c r="B376" s="40"/>
      <c r="C376" s="42"/>
      <c r="E376" s="3"/>
      <c r="L376" s="34"/>
      <c r="M376" s="34"/>
      <c r="O376" s="18"/>
      <c r="P376" s="18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N376" s="3"/>
      <c r="AO376" s="3"/>
    </row>
    <row r="377" spans="1:41" ht="14.25" customHeight="1" x14ac:dyDescent="0.25">
      <c r="A377" s="3"/>
      <c r="B377" s="40"/>
      <c r="C377" s="42"/>
      <c r="E377" s="3"/>
      <c r="L377" s="34"/>
      <c r="M377" s="34"/>
      <c r="O377" s="18"/>
      <c r="P377" s="18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N377" s="3"/>
      <c r="AO377" s="3"/>
    </row>
    <row r="378" spans="1:41" ht="14.25" customHeight="1" x14ac:dyDescent="0.25">
      <c r="A378" s="3"/>
      <c r="B378" s="40"/>
      <c r="C378" s="42"/>
      <c r="E378" s="3"/>
      <c r="L378" s="34"/>
      <c r="M378" s="34"/>
      <c r="O378" s="18"/>
      <c r="P378" s="18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N378" s="3"/>
      <c r="AO378" s="3"/>
    </row>
    <row r="379" spans="1:41" ht="14.25" customHeight="1" x14ac:dyDescent="0.25">
      <c r="A379" s="3"/>
      <c r="B379" s="40"/>
      <c r="C379" s="42"/>
      <c r="E379" s="3"/>
      <c r="L379" s="34"/>
      <c r="M379" s="34"/>
      <c r="O379" s="18"/>
      <c r="P379" s="18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N379" s="3"/>
      <c r="AO379" s="3"/>
    </row>
    <row r="380" spans="1:41" ht="14.25" customHeight="1" x14ac:dyDescent="0.25">
      <c r="A380" s="3"/>
      <c r="B380" s="40"/>
      <c r="C380" s="42"/>
      <c r="E380" s="3"/>
      <c r="L380" s="34"/>
      <c r="M380" s="34"/>
      <c r="O380" s="18"/>
      <c r="P380" s="18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N380" s="3"/>
      <c r="AO380" s="3"/>
    </row>
    <row r="381" spans="1:41" ht="14.25" customHeight="1" x14ac:dyDescent="0.25">
      <c r="A381" s="3"/>
      <c r="B381" s="40"/>
      <c r="C381" s="42"/>
      <c r="E381" s="3"/>
      <c r="L381" s="34"/>
      <c r="M381" s="34"/>
      <c r="O381" s="18"/>
      <c r="P381" s="18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N381" s="3"/>
      <c r="AO381" s="3"/>
    </row>
    <row r="382" spans="1:41" ht="14.25" customHeight="1" x14ac:dyDescent="0.25">
      <c r="A382" s="3"/>
      <c r="B382" s="40"/>
      <c r="C382" s="42"/>
      <c r="E382" s="3"/>
      <c r="L382" s="34"/>
      <c r="M382" s="34"/>
      <c r="O382" s="18"/>
      <c r="P382" s="18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N382" s="3"/>
      <c r="AO382" s="3"/>
    </row>
    <row r="383" spans="1:41" ht="14.25" customHeight="1" x14ac:dyDescent="0.25">
      <c r="A383" s="3"/>
      <c r="B383" s="40"/>
      <c r="C383" s="42"/>
      <c r="E383" s="3"/>
      <c r="L383" s="34"/>
      <c r="M383" s="34"/>
      <c r="O383" s="18"/>
      <c r="P383" s="18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N383" s="3"/>
      <c r="AO383" s="3"/>
    </row>
    <row r="384" spans="1:41" ht="14.25" customHeight="1" x14ac:dyDescent="0.25">
      <c r="A384" s="3"/>
      <c r="B384" s="40"/>
      <c r="C384" s="42"/>
      <c r="E384" s="3"/>
      <c r="L384" s="34"/>
      <c r="M384" s="34"/>
      <c r="O384" s="18"/>
      <c r="P384" s="18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N384" s="3"/>
      <c r="AO384" s="3"/>
    </row>
    <row r="385" spans="1:41" ht="14.25" customHeight="1" x14ac:dyDescent="0.25">
      <c r="A385" s="3"/>
      <c r="B385" s="40"/>
      <c r="C385" s="42"/>
      <c r="E385" s="3"/>
      <c r="L385" s="34"/>
      <c r="M385" s="34"/>
      <c r="O385" s="18"/>
      <c r="P385" s="18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N385" s="3"/>
      <c r="AO385" s="3"/>
    </row>
    <row r="386" spans="1:41" ht="14.25" customHeight="1" x14ac:dyDescent="0.25">
      <c r="A386" s="3"/>
      <c r="B386" s="40"/>
      <c r="C386" s="42"/>
      <c r="E386" s="3"/>
      <c r="L386" s="34"/>
      <c r="M386" s="34"/>
      <c r="O386" s="18"/>
      <c r="P386" s="18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N386" s="3"/>
      <c r="AO386" s="3"/>
    </row>
    <row r="387" spans="1:41" ht="14.25" customHeight="1" x14ac:dyDescent="0.25">
      <c r="A387" s="3"/>
      <c r="B387" s="40"/>
      <c r="C387" s="42"/>
      <c r="E387" s="3"/>
      <c r="L387" s="34"/>
      <c r="M387" s="34"/>
      <c r="O387" s="18"/>
      <c r="P387" s="18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N387" s="3"/>
      <c r="AO387" s="3"/>
    </row>
    <row r="388" spans="1:41" ht="14.25" customHeight="1" x14ac:dyDescent="0.25">
      <c r="A388" s="3"/>
      <c r="B388" s="40"/>
      <c r="C388" s="42"/>
      <c r="E388" s="3"/>
      <c r="L388" s="34"/>
      <c r="M388" s="34"/>
      <c r="O388" s="18"/>
      <c r="P388" s="18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N388" s="3"/>
      <c r="AO388" s="3"/>
    </row>
    <row r="389" spans="1:41" ht="14.25" customHeight="1" x14ac:dyDescent="0.25">
      <c r="A389" s="3"/>
      <c r="B389" s="40"/>
      <c r="C389" s="42"/>
      <c r="E389" s="3"/>
      <c r="L389" s="34"/>
      <c r="M389" s="34"/>
      <c r="O389" s="18"/>
      <c r="P389" s="18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N389" s="3"/>
      <c r="AO389" s="3"/>
    </row>
    <row r="390" spans="1:41" ht="14.25" customHeight="1" x14ac:dyDescent="0.25">
      <c r="A390" s="3"/>
      <c r="B390" s="40"/>
      <c r="C390" s="42"/>
      <c r="E390" s="3"/>
      <c r="L390" s="34"/>
      <c r="M390" s="34"/>
      <c r="O390" s="18"/>
      <c r="P390" s="18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N390" s="3"/>
      <c r="AO390" s="3"/>
    </row>
    <row r="391" spans="1:41" ht="14.25" customHeight="1" x14ac:dyDescent="0.25">
      <c r="A391" s="3"/>
      <c r="B391" s="40"/>
      <c r="C391" s="42"/>
      <c r="E391" s="3"/>
      <c r="L391" s="34"/>
      <c r="M391" s="34"/>
      <c r="O391" s="18"/>
      <c r="P391" s="18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N391" s="3"/>
      <c r="AO391" s="3"/>
    </row>
    <row r="392" spans="1:41" ht="14.25" customHeight="1" x14ac:dyDescent="0.25">
      <c r="A392" s="3"/>
      <c r="B392" s="40"/>
      <c r="C392" s="42"/>
      <c r="E392" s="3"/>
      <c r="L392" s="34"/>
      <c r="M392" s="34"/>
      <c r="O392" s="18"/>
      <c r="P392" s="18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N392" s="3"/>
      <c r="AO392" s="3"/>
    </row>
    <row r="393" spans="1:41" ht="14.25" customHeight="1" x14ac:dyDescent="0.25">
      <c r="A393" s="3"/>
      <c r="B393" s="40"/>
      <c r="C393" s="42"/>
      <c r="E393" s="3"/>
      <c r="L393" s="34"/>
      <c r="M393" s="34"/>
      <c r="O393" s="18"/>
      <c r="P393" s="18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N393" s="3"/>
      <c r="AO393" s="3"/>
    </row>
    <row r="394" spans="1:41" ht="14.25" customHeight="1" x14ac:dyDescent="0.25">
      <c r="A394" s="3"/>
      <c r="B394" s="40"/>
      <c r="C394" s="42"/>
      <c r="E394" s="3"/>
      <c r="L394" s="34"/>
      <c r="M394" s="34"/>
      <c r="O394" s="18"/>
      <c r="P394" s="18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N394" s="3"/>
      <c r="AO394" s="3"/>
    </row>
    <row r="395" spans="1:41" ht="14.25" customHeight="1" x14ac:dyDescent="0.25">
      <c r="A395" s="3"/>
      <c r="B395" s="40"/>
      <c r="C395" s="42"/>
      <c r="E395" s="3"/>
      <c r="L395" s="34"/>
      <c r="M395" s="34"/>
      <c r="O395" s="18"/>
      <c r="P395" s="18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N395" s="3"/>
      <c r="AO395" s="3"/>
    </row>
    <row r="396" spans="1:41" ht="14.25" customHeight="1" x14ac:dyDescent="0.25">
      <c r="A396" s="3"/>
      <c r="B396" s="40"/>
      <c r="C396" s="42"/>
      <c r="E396" s="3"/>
      <c r="L396" s="34"/>
      <c r="M396" s="34"/>
      <c r="O396" s="18"/>
      <c r="P396" s="18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N396" s="3"/>
      <c r="AO396" s="3"/>
    </row>
    <row r="397" spans="1:41" ht="14.25" customHeight="1" x14ac:dyDescent="0.25">
      <c r="A397" s="3"/>
      <c r="B397" s="40"/>
      <c r="C397" s="42"/>
      <c r="E397" s="3"/>
      <c r="L397" s="34"/>
      <c r="M397" s="34"/>
      <c r="O397" s="18"/>
      <c r="P397" s="18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N397" s="3"/>
      <c r="AO397" s="3"/>
    </row>
    <row r="398" spans="1:41" ht="14.25" customHeight="1" x14ac:dyDescent="0.25">
      <c r="A398" s="3"/>
      <c r="B398" s="40"/>
      <c r="C398" s="42"/>
      <c r="E398" s="3"/>
      <c r="L398" s="34"/>
      <c r="M398" s="34"/>
      <c r="O398" s="18"/>
      <c r="P398" s="18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N398" s="3"/>
      <c r="AO398" s="3"/>
    </row>
    <row r="399" spans="1:41" ht="14.25" customHeight="1" x14ac:dyDescent="0.25">
      <c r="A399" s="3"/>
      <c r="B399" s="40"/>
      <c r="C399" s="42"/>
      <c r="E399" s="3"/>
      <c r="L399" s="34"/>
      <c r="M399" s="34"/>
      <c r="O399" s="18"/>
      <c r="P399" s="18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N399" s="3"/>
      <c r="AO399" s="3"/>
    </row>
    <row r="400" spans="1:41" ht="14.25" customHeight="1" x14ac:dyDescent="0.25">
      <c r="A400" s="3"/>
      <c r="B400" s="40"/>
      <c r="C400" s="42"/>
      <c r="E400" s="3"/>
      <c r="L400" s="34"/>
      <c r="M400" s="34"/>
      <c r="O400" s="18"/>
      <c r="P400" s="18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N400" s="3"/>
      <c r="AO400" s="3"/>
    </row>
    <row r="401" spans="1:41" ht="14.25" customHeight="1" x14ac:dyDescent="0.25">
      <c r="A401" s="3"/>
      <c r="B401" s="40"/>
      <c r="C401" s="42"/>
      <c r="E401" s="3"/>
      <c r="L401" s="34"/>
      <c r="M401" s="34"/>
      <c r="O401" s="18"/>
      <c r="P401" s="18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N401" s="3"/>
      <c r="AO401" s="3"/>
    </row>
    <row r="402" spans="1:41" ht="14.25" customHeight="1" x14ac:dyDescent="0.25">
      <c r="A402" s="3"/>
      <c r="B402" s="40"/>
      <c r="C402" s="42"/>
      <c r="E402" s="3"/>
      <c r="L402" s="34"/>
      <c r="M402" s="34"/>
      <c r="O402" s="18"/>
      <c r="P402" s="18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N402" s="3"/>
      <c r="AO402" s="3"/>
    </row>
    <row r="403" spans="1:41" ht="14.25" customHeight="1" x14ac:dyDescent="0.25">
      <c r="A403" s="3"/>
      <c r="B403" s="40"/>
      <c r="C403" s="42"/>
      <c r="E403" s="3"/>
      <c r="L403" s="34"/>
      <c r="M403" s="34"/>
      <c r="O403" s="18"/>
      <c r="P403" s="18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N403" s="3"/>
      <c r="AO403" s="3"/>
    </row>
    <row r="404" spans="1:41" ht="14.25" customHeight="1" x14ac:dyDescent="0.25">
      <c r="A404" s="3"/>
      <c r="B404" s="40"/>
      <c r="C404" s="42"/>
      <c r="E404" s="3"/>
      <c r="L404" s="34"/>
      <c r="M404" s="34"/>
      <c r="O404" s="18"/>
      <c r="P404" s="18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N404" s="3"/>
      <c r="AO404" s="3"/>
    </row>
    <row r="405" spans="1:41" ht="14.25" customHeight="1" x14ac:dyDescent="0.25">
      <c r="A405" s="3"/>
      <c r="B405" s="40"/>
      <c r="C405" s="42"/>
      <c r="E405" s="3"/>
      <c r="L405" s="34"/>
      <c r="M405" s="34"/>
      <c r="O405" s="18"/>
      <c r="P405" s="18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N405" s="3"/>
      <c r="AO405" s="3"/>
    </row>
    <row r="406" spans="1:41" ht="14.25" customHeight="1" x14ac:dyDescent="0.25">
      <c r="A406" s="3"/>
      <c r="B406" s="40"/>
      <c r="C406" s="42"/>
      <c r="E406" s="3"/>
      <c r="L406" s="34"/>
      <c r="M406" s="34"/>
      <c r="O406" s="18"/>
      <c r="P406" s="18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N406" s="3"/>
      <c r="AO406" s="3"/>
    </row>
    <row r="407" spans="1:41" ht="14.25" customHeight="1" x14ac:dyDescent="0.25">
      <c r="A407" s="3"/>
      <c r="B407" s="40"/>
      <c r="C407" s="42"/>
      <c r="E407" s="3"/>
      <c r="L407" s="34"/>
      <c r="M407" s="34"/>
      <c r="O407" s="18"/>
      <c r="P407" s="18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N407" s="3"/>
      <c r="AO407" s="3"/>
    </row>
    <row r="408" spans="1:41" ht="14.25" customHeight="1" x14ac:dyDescent="0.25">
      <c r="A408" s="3"/>
      <c r="B408" s="40"/>
      <c r="C408" s="42"/>
      <c r="E408" s="3"/>
      <c r="L408" s="34"/>
      <c r="M408" s="34"/>
      <c r="O408" s="18"/>
      <c r="P408" s="18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N408" s="3"/>
      <c r="AO408" s="3"/>
    </row>
    <row r="409" spans="1:41" ht="14.25" customHeight="1" x14ac:dyDescent="0.25">
      <c r="A409" s="3"/>
      <c r="B409" s="40"/>
      <c r="C409" s="42"/>
      <c r="E409" s="3"/>
      <c r="L409" s="34"/>
      <c r="M409" s="34"/>
      <c r="O409" s="18"/>
      <c r="P409" s="18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N409" s="3"/>
      <c r="AO409" s="3"/>
    </row>
    <row r="410" spans="1:41" ht="14.25" customHeight="1" x14ac:dyDescent="0.25">
      <c r="A410" s="3"/>
      <c r="B410" s="40"/>
      <c r="C410" s="42"/>
      <c r="E410" s="3"/>
      <c r="L410" s="34"/>
      <c r="M410" s="34"/>
      <c r="O410" s="18"/>
      <c r="P410" s="18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N410" s="3"/>
      <c r="AO410" s="3"/>
    </row>
    <row r="411" spans="1:41" ht="14.25" customHeight="1" x14ac:dyDescent="0.25">
      <c r="A411" s="3"/>
      <c r="B411" s="40"/>
      <c r="C411" s="42"/>
      <c r="E411" s="3"/>
      <c r="L411" s="34"/>
      <c r="M411" s="34"/>
      <c r="O411" s="18"/>
      <c r="P411" s="18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N411" s="3"/>
      <c r="AO411" s="3"/>
    </row>
    <row r="412" spans="1:41" ht="14.25" customHeight="1" x14ac:dyDescent="0.25">
      <c r="A412" s="3"/>
      <c r="B412" s="40"/>
      <c r="C412" s="42"/>
      <c r="E412" s="3"/>
      <c r="L412" s="34"/>
      <c r="M412" s="34"/>
      <c r="O412" s="18"/>
      <c r="P412" s="18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N412" s="3"/>
      <c r="AO412" s="3"/>
    </row>
    <row r="413" spans="1:41" ht="14.25" customHeight="1" x14ac:dyDescent="0.25">
      <c r="A413" s="3"/>
      <c r="B413" s="40"/>
      <c r="C413" s="42"/>
      <c r="E413" s="3"/>
      <c r="L413" s="34"/>
      <c r="M413" s="34"/>
      <c r="O413" s="18"/>
      <c r="P413" s="18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N413" s="3"/>
      <c r="AO413" s="3"/>
    </row>
    <row r="414" spans="1:41" ht="14.25" customHeight="1" x14ac:dyDescent="0.25">
      <c r="A414" s="3"/>
      <c r="B414" s="40"/>
      <c r="C414" s="42"/>
      <c r="E414" s="3"/>
      <c r="L414" s="34"/>
      <c r="M414" s="34"/>
      <c r="O414" s="18"/>
      <c r="P414" s="18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N414" s="3"/>
      <c r="AO414" s="3"/>
    </row>
    <row r="415" spans="1:41" ht="14.25" customHeight="1" x14ac:dyDescent="0.25">
      <c r="A415" s="3"/>
      <c r="B415" s="40"/>
      <c r="C415" s="42"/>
      <c r="E415" s="3"/>
      <c r="L415" s="34"/>
      <c r="M415" s="34"/>
      <c r="O415" s="18"/>
      <c r="P415" s="18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N415" s="3"/>
      <c r="AO415" s="3"/>
    </row>
    <row r="416" spans="1:41" ht="14.25" customHeight="1" x14ac:dyDescent="0.25">
      <c r="A416" s="3"/>
      <c r="B416" s="40"/>
      <c r="C416" s="42"/>
      <c r="E416" s="3"/>
      <c r="L416" s="34"/>
      <c r="M416" s="34"/>
      <c r="O416" s="18"/>
      <c r="P416" s="18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N416" s="3"/>
      <c r="AO416" s="3"/>
    </row>
    <row r="417" spans="1:41" ht="14.25" customHeight="1" x14ac:dyDescent="0.25">
      <c r="A417" s="3"/>
      <c r="B417" s="40"/>
      <c r="C417" s="42"/>
      <c r="E417" s="3"/>
      <c r="L417" s="34"/>
      <c r="M417" s="34"/>
      <c r="O417" s="18"/>
      <c r="P417" s="18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N417" s="3"/>
      <c r="AO417" s="3"/>
    </row>
    <row r="418" spans="1:41" ht="14.25" customHeight="1" x14ac:dyDescent="0.25">
      <c r="A418" s="3"/>
      <c r="B418" s="40"/>
      <c r="C418" s="42"/>
      <c r="E418" s="3"/>
      <c r="L418" s="34"/>
      <c r="M418" s="34"/>
      <c r="O418" s="18"/>
      <c r="P418" s="18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N418" s="3"/>
      <c r="AO418" s="3"/>
    </row>
    <row r="419" spans="1:41" ht="14.25" customHeight="1" x14ac:dyDescent="0.25">
      <c r="A419" s="3"/>
      <c r="B419" s="40"/>
      <c r="C419" s="42"/>
      <c r="E419" s="3"/>
      <c r="L419" s="34"/>
      <c r="M419" s="34"/>
      <c r="O419" s="18"/>
      <c r="P419" s="18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N419" s="3"/>
      <c r="AO419" s="3"/>
    </row>
    <row r="420" spans="1:41" ht="14.25" customHeight="1" x14ac:dyDescent="0.25">
      <c r="A420" s="3"/>
      <c r="B420" s="40"/>
      <c r="C420" s="42"/>
      <c r="E420" s="3"/>
      <c r="L420" s="34"/>
      <c r="M420" s="34"/>
      <c r="O420" s="18"/>
      <c r="P420" s="18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N420" s="3"/>
      <c r="AO420" s="3"/>
    </row>
    <row r="421" spans="1:41" ht="14.25" customHeight="1" x14ac:dyDescent="0.25">
      <c r="A421" s="3"/>
      <c r="B421" s="40"/>
      <c r="C421" s="42"/>
      <c r="E421" s="3"/>
      <c r="L421" s="34"/>
      <c r="M421" s="34"/>
      <c r="O421" s="18"/>
      <c r="P421" s="18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N421" s="3"/>
      <c r="AO421" s="3"/>
    </row>
    <row r="422" spans="1:41" ht="14.25" customHeight="1" x14ac:dyDescent="0.25">
      <c r="A422" s="3"/>
      <c r="B422" s="40"/>
      <c r="C422" s="42"/>
      <c r="E422" s="3"/>
      <c r="L422" s="34"/>
      <c r="M422" s="34"/>
      <c r="O422" s="18"/>
      <c r="P422" s="18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N422" s="3"/>
      <c r="AO422" s="3"/>
    </row>
    <row r="423" spans="1:41" ht="14.25" customHeight="1" x14ac:dyDescent="0.25">
      <c r="A423" s="3"/>
      <c r="B423" s="40"/>
      <c r="C423" s="42"/>
      <c r="E423" s="3"/>
      <c r="L423" s="34"/>
      <c r="M423" s="34"/>
      <c r="O423" s="18"/>
      <c r="P423" s="18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N423" s="3"/>
      <c r="AO423" s="3"/>
    </row>
    <row r="424" spans="1:41" ht="14.25" customHeight="1" x14ac:dyDescent="0.25">
      <c r="A424" s="3"/>
      <c r="B424" s="40"/>
      <c r="C424" s="42"/>
      <c r="E424" s="3"/>
      <c r="L424" s="34"/>
      <c r="M424" s="34"/>
      <c r="O424" s="18"/>
      <c r="P424" s="18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N424" s="3"/>
      <c r="AO424" s="3"/>
    </row>
    <row r="425" spans="1:41" ht="14.25" customHeight="1" x14ac:dyDescent="0.25">
      <c r="A425" s="3"/>
      <c r="B425" s="40"/>
      <c r="C425" s="42"/>
      <c r="E425" s="3"/>
      <c r="L425" s="34"/>
      <c r="M425" s="34"/>
      <c r="O425" s="18"/>
      <c r="P425" s="18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N425" s="3"/>
      <c r="AO425" s="3"/>
    </row>
    <row r="426" spans="1:41" ht="14.25" customHeight="1" x14ac:dyDescent="0.25">
      <c r="A426" s="3"/>
      <c r="B426" s="40"/>
      <c r="C426" s="42"/>
      <c r="E426" s="3"/>
      <c r="L426" s="34"/>
      <c r="M426" s="34"/>
      <c r="O426" s="18"/>
      <c r="P426" s="18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N426" s="3"/>
      <c r="AO426" s="3"/>
    </row>
    <row r="427" spans="1:41" ht="14.25" customHeight="1" x14ac:dyDescent="0.25">
      <c r="A427" s="3"/>
      <c r="B427" s="40"/>
      <c r="C427" s="42"/>
      <c r="E427" s="3"/>
      <c r="L427" s="34"/>
      <c r="M427" s="34"/>
      <c r="O427" s="18"/>
      <c r="P427" s="18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N427" s="3"/>
      <c r="AO427" s="3"/>
    </row>
    <row r="428" spans="1:41" ht="14.25" customHeight="1" x14ac:dyDescent="0.25">
      <c r="A428" s="3"/>
      <c r="B428" s="40"/>
      <c r="C428" s="42"/>
      <c r="E428" s="3"/>
      <c r="L428" s="34"/>
      <c r="M428" s="34"/>
      <c r="O428" s="18"/>
      <c r="P428" s="18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N428" s="3"/>
      <c r="AO428" s="3"/>
    </row>
    <row r="429" spans="1:41" ht="14.25" customHeight="1" x14ac:dyDescent="0.25">
      <c r="A429" s="3"/>
      <c r="B429" s="40"/>
      <c r="C429" s="42"/>
      <c r="E429" s="3"/>
      <c r="L429" s="34"/>
      <c r="M429" s="34"/>
      <c r="O429" s="18"/>
      <c r="P429" s="18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N429" s="3"/>
      <c r="AO429" s="3"/>
    </row>
    <row r="430" spans="1:41" ht="14.25" customHeight="1" x14ac:dyDescent="0.25">
      <c r="A430" s="3"/>
      <c r="B430" s="40"/>
      <c r="C430" s="42"/>
      <c r="E430" s="3"/>
      <c r="L430" s="34"/>
      <c r="M430" s="34"/>
      <c r="O430" s="18"/>
      <c r="P430" s="18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N430" s="3"/>
      <c r="AO430" s="3"/>
    </row>
    <row r="431" spans="1:41" ht="14.25" customHeight="1" x14ac:dyDescent="0.25">
      <c r="A431" s="3"/>
      <c r="B431" s="40"/>
      <c r="C431" s="42"/>
      <c r="E431" s="3"/>
      <c r="L431" s="34"/>
      <c r="M431" s="34"/>
      <c r="O431" s="18"/>
      <c r="P431" s="18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N431" s="3"/>
      <c r="AO431" s="3"/>
    </row>
    <row r="432" spans="1:41" ht="14.25" customHeight="1" x14ac:dyDescent="0.25">
      <c r="A432" s="3"/>
      <c r="B432" s="40"/>
      <c r="C432" s="42"/>
      <c r="E432" s="3"/>
      <c r="L432" s="34"/>
      <c r="M432" s="34"/>
      <c r="O432" s="18"/>
      <c r="P432" s="18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N432" s="3"/>
      <c r="AO432" s="3"/>
    </row>
    <row r="433" spans="1:41" ht="14.25" customHeight="1" x14ac:dyDescent="0.25">
      <c r="A433" s="3"/>
      <c r="B433" s="40"/>
      <c r="C433" s="42"/>
      <c r="E433" s="3"/>
      <c r="L433" s="34"/>
      <c r="M433" s="34"/>
      <c r="O433" s="18"/>
      <c r="P433" s="18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N433" s="3"/>
      <c r="AO433" s="3"/>
    </row>
    <row r="434" spans="1:41" ht="14.25" customHeight="1" x14ac:dyDescent="0.25">
      <c r="A434" s="3"/>
      <c r="B434" s="40"/>
      <c r="C434" s="42"/>
      <c r="E434" s="3"/>
      <c r="L434" s="34"/>
      <c r="M434" s="34"/>
      <c r="O434" s="18"/>
      <c r="P434" s="18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N434" s="3"/>
      <c r="AO434" s="3"/>
    </row>
    <row r="435" spans="1:41" ht="14.25" customHeight="1" x14ac:dyDescent="0.25">
      <c r="A435" s="3"/>
      <c r="B435" s="40"/>
      <c r="C435" s="42"/>
      <c r="E435" s="3"/>
      <c r="L435" s="34"/>
      <c r="M435" s="34"/>
      <c r="O435" s="18"/>
      <c r="P435" s="18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N435" s="3"/>
      <c r="AO435" s="3"/>
    </row>
    <row r="436" spans="1:41" ht="14.25" customHeight="1" x14ac:dyDescent="0.25">
      <c r="A436" s="3"/>
      <c r="B436" s="40"/>
      <c r="C436" s="42"/>
      <c r="E436" s="3"/>
      <c r="L436" s="34"/>
      <c r="M436" s="34"/>
      <c r="O436" s="18"/>
      <c r="P436" s="18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N436" s="3"/>
      <c r="AO436" s="3"/>
    </row>
    <row r="437" spans="1:41" ht="14.25" customHeight="1" x14ac:dyDescent="0.25">
      <c r="A437" s="3"/>
      <c r="B437" s="40"/>
      <c r="C437" s="42"/>
      <c r="E437" s="3"/>
      <c r="L437" s="34"/>
      <c r="M437" s="34"/>
      <c r="O437" s="18"/>
      <c r="P437" s="18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N437" s="3"/>
      <c r="AO437" s="3"/>
    </row>
    <row r="438" spans="1:41" ht="14.25" customHeight="1" x14ac:dyDescent="0.25">
      <c r="A438" s="3"/>
      <c r="B438" s="40"/>
      <c r="C438" s="42"/>
      <c r="E438" s="3"/>
      <c r="L438" s="34"/>
      <c r="M438" s="34"/>
      <c r="O438" s="18"/>
      <c r="P438" s="18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N438" s="3"/>
      <c r="AO438" s="3"/>
    </row>
    <row r="439" spans="1:41" ht="14.25" customHeight="1" x14ac:dyDescent="0.25">
      <c r="A439" s="3"/>
      <c r="B439" s="40"/>
      <c r="C439" s="42"/>
      <c r="E439" s="3"/>
      <c r="L439" s="34"/>
      <c r="M439" s="34"/>
      <c r="O439" s="18"/>
      <c r="P439" s="18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N439" s="3"/>
      <c r="AO439" s="3"/>
    </row>
    <row r="440" spans="1:41" ht="14.25" customHeight="1" x14ac:dyDescent="0.25">
      <c r="A440" s="3"/>
      <c r="B440" s="40"/>
      <c r="C440" s="42"/>
      <c r="E440" s="3"/>
      <c r="L440" s="34"/>
      <c r="M440" s="34"/>
      <c r="O440" s="18"/>
      <c r="P440" s="18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N440" s="3"/>
      <c r="AO440" s="3"/>
    </row>
    <row r="441" spans="1:41" ht="14.25" customHeight="1" x14ac:dyDescent="0.25">
      <c r="A441" s="3"/>
      <c r="B441" s="40"/>
      <c r="C441" s="42"/>
      <c r="E441" s="3"/>
      <c r="L441" s="34"/>
      <c r="M441" s="34"/>
      <c r="O441" s="18"/>
      <c r="P441" s="18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N441" s="3"/>
      <c r="AO441" s="3"/>
    </row>
    <row r="442" spans="1:41" ht="14.25" customHeight="1" x14ac:dyDescent="0.25">
      <c r="A442" s="3"/>
      <c r="B442" s="40"/>
      <c r="C442" s="42"/>
      <c r="E442" s="3"/>
      <c r="L442" s="34"/>
      <c r="M442" s="34"/>
      <c r="O442" s="18"/>
      <c r="P442" s="18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N442" s="3"/>
      <c r="AO442" s="3"/>
    </row>
    <row r="443" spans="1:41" ht="14.25" customHeight="1" x14ac:dyDescent="0.25">
      <c r="A443" s="3"/>
      <c r="B443" s="40"/>
      <c r="C443" s="42"/>
      <c r="E443" s="3"/>
      <c r="L443" s="34"/>
      <c r="M443" s="34"/>
      <c r="O443" s="18"/>
      <c r="P443" s="18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N443" s="3"/>
      <c r="AO443" s="3"/>
    </row>
    <row r="444" spans="1:41" ht="14.25" customHeight="1" x14ac:dyDescent="0.25">
      <c r="A444" s="3"/>
      <c r="B444" s="40"/>
      <c r="C444" s="42"/>
      <c r="E444" s="3"/>
      <c r="L444" s="34"/>
      <c r="M444" s="34"/>
      <c r="O444" s="18"/>
      <c r="P444" s="18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N444" s="3"/>
      <c r="AO444" s="3"/>
    </row>
    <row r="445" spans="1:41" ht="14.25" customHeight="1" x14ac:dyDescent="0.25">
      <c r="A445" s="3"/>
      <c r="B445" s="40"/>
      <c r="C445" s="42"/>
      <c r="E445" s="3"/>
      <c r="L445" s="34"/>
      <c r="M445" s="34"/>
      <c r="O445" s="18"/>
      <c r="P445" s="18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N445" s="3"/>
      <c r="AO445" s="3"/>
    </row>
    <row r="446" spans="1:41" ht="14.25" customHeight="1" x14ac:dyDescent="0.25">
      <c r="A446" s="3"/>
      <c r="B446" s="40"/>
      <c r="C446" s="42"/>
      <c r="E446" s="3"/>
      <c r="L446" s="34"/>
      <c r="M446" s="34"/>
      <c r="O446" s="18"/>
      <c r="P446" s="18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N446" s="3"/>
      <c r="AO446" s="3"/>
    </row>
    <row r="447" spans="1:41" ht="14.25" customHeight="1" x14ac:dyDescent="0.25">
      <c r="A447" s="3"/>
      <c r="B447" s="40"/>
      <c r="C447" s="42"/>
      <c r="E447" s="3"/>
      <c r="L447" s="34"/>
      <c r="M447" s="34"/>
      <c r="O447" s="18"/>
      <c r="P447" s="18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N447" s="3"/>
      <c r="AO447" s="3"/>
    </row>
    <row r="448" spans="1:41" ht="14.25" customHeight="1" x14ac:dyDescent="0.25">
      <c r="A448" s="3"/>
      <c r="B448" s="40"/>
      <c r="C448" s="42"/>
      <c r="E448" s="3"/>
      <c r="L448" s="34"/>
      <c r="M448" s="34"/>
      <c r="O448" s="18"/>
      <c r="P448" s="18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N448" s="3"/>
      <c r="AO448" s="3"/>
    </row>
    <row r="449" spans="1:41" ht="14.25" customHeight="1" x14ac:dyDescent="0.25">
      <c r="A449" s="3"/>
      <c r="B449" s="40"/>
      <c r="C449" s="42"/>
      <c r="E449" s="3"/>
      <c r="L449" s="34"/>
      <c r="M449" s="34"/>
      <c r="O449" s="18"/>
      <c r="P449" s="18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N449" s="3"/>
      <c r="AO449" s="3"/>
    </row>
    <row r="450" spans="1:41" ht="14.25" customHeight="1" x14ac:dyDescent="0.25">
      <c r="A450" s="3"/>
      <c r="B450" s="40"/>
      <c r="C450" s="42"/>
      <c r="E450" s="3"/>
      <c r="L450" s="34"/>
      <c r="M450" s="34"/>
      <c r="O450" s="18"/>
      <c r="P450" s="18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N450" s="3"/>
      <c r="AO450" s="3"/>
    </row>
    <row r="451" spans="1:41" ht="14.25" customHeight="1" x14ac:dyDescent="0.25">
      <c r="A451" s="3"/>
      <c r="B451" s="40"/>
      <c r="C451" s="42"/>
      <c r="E451" s="3"/>
      <c r="L451" s="34"/>
      <c r="M451" s="34"/>
      <c r="O451" s="18"/>
      <c r="P451" s="18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N451" s="3"/>
      <c r="AO451" s="3"/>
    </row>
    <row r="452" spans="1:41" ht="14.25" customHeight="1" x14ac:dyDescent="0.25">
      <c r="A452" s="3"/>
      <c r="B452" s="40"/>
      <c r="C452" s="42"/>
      <c r="E452" s="3"/>
      <c r="L452" s="34"/>
      <c r="M452" s="34"/>
      <c r="O452" s="18"/>
      <c r="P452" s="18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N452" s="3"/>
      <c r="AO452" s="3"/>
    </row>
    <row r="453" spans="1:41" ht="14.25" customHeight="1" x14ac:dyDescent="0.25">
      <c r="A453" s="3"/>
      <c r="B453" s="40"/>
      <c r="C453" s="42"/>
      <c r="E453" s="3"/>
      <c r="L453" s="34"/>
      <c r="M453" s="34"/>
      <c r="O453" s="18"/>
      <c r="P453" s="18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N453" s="3"/>
      <c r="AO453" s="3"/>
    </row>
    <row r="454" spans="1:41" ht="14.25" customHeight="1" x14ac:dyDescent="0.25">
      <c r="A454" s="3"/>
      <c r="B454" s="40"/>
      <c r="C454" s="42"/>
      <c r="E454" s="3"/>
      <c r="L454" s="34"/>
      <c r="M454" s="34"/>
      <c r="O454" s="18"/>
      <c r="P454" s="18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N454" s="3"/>
      <c r="AO454" s="3"/>
    </row>
    <row r="455" spans="1:41" ht="14.25" customHeight="1" x14ac:dyDescent="0.25">
      <c r="A455" s="3"/>
      <c r="B455" s="40"/>
      <c r="C455" s="42"/>
      <c r="E455" s="3"/>
      <c r="L455" s="34"/>
      <c r="M455" s="34"/>
      <c r="O455" s="18"/>
      <c r="P455" s="18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N455" s="3"/>
      <c r="AO455" s="3"/>
    </row>
    <row r="456" spans="1:41" ht="14.25" customHeight="1" x14ac:dyDescent="0.25">
      <c r="A456" s="3"/>
      <c r="B456" s="40"/>
      <c r="C456" s="42"/>
      <c r="E456" s="3"/>
      <c r="L456" s="34"/>
      <c r="M456" s="34"/>
      <c r="O456" s="18"/>
      <c r="P456" s="18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N456" s="3"/>
      <c r="AO456" s="3"/>
    </row>
    <row r="457" spans="1:41" ht="14.25" customHeight="1" x14ac:dyDescent="0.25">
      <c r="A457" s="3"/>
      <c r="B457" s="40"/>
      <c r="C457" s="42"/>
      <c r="E457" s="3"/>
      <c r="L457" s="34"/>
      <c r="M457" s="34"/>
      <c r="O457" s="18"/>
      <c r="P457" s="18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N457" s="3"/>
      <c r="AO457" s="3"/>
    </row>
    <row r="458" spans="1:41" ht="14.25" customHeight="1" x14ac:dyDescent="0.25">
      <c r="A458" s="3"/>
      <c r="B458" s="40"/>
      <c r="C458" s="42"/>
      <c r="E458" s="3"/>
      <c r="L458" s="34"/>
      <c r="M458" s="34"/>
      <c r="O458" s="18"/>
      <c r="P458" s="18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N458" s="3"/>
      <c r="AO458" s="3"/>
    </row>
    <row r="459" spans="1:41" ht="14.25" customHeight="1" x14ac:dyDescent="0.25">
      <c r="A459" s="3"/>
      <c r="B459" s="40"/>
      <c r="C459" s="42"/>
      <c r="E459" s="3"/>
      <c r="L459" s="34"/>
      <c r="M459" s="34"/>
      <c r="O459" s="18"/>
      <c r="P459" s="18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N459" s="3"/>
      <c r="AO459" s="3"/>
    </row>
    <row r="460" spans="1:41" ht="14.25" customHeight="1" x14ac:dyDescent="0.25">
      <c r="A460" s="3"/>
      <c r="B460" s="40"/>
      <c r="C460" s="42"/>
      <c r="E460" s="3"/>
      <c r="L460" s="34"/>
      <c r="M460" s="34"/>
      <c r="O460" s="18"/>
      <c r="P460" s="18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N460" s="3"/>
      <c r="AO460" s="3"/>
    </row>
    <row r="461" spans="1:41" ht="14.25" customHeight="1" x14ac:dyDescent="0.25">
      <c r="A461" s="3"/>
      <c r="B461" s="40"/>
      <c r="C461" s="42"/>
      <c r="E461" s="3"/>
      <c r="L461" s="34"/>
      <c r="M461" s="34"/>
      <c r="O461" s="18"/>
      <c r="P461" s="18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N461" s="3"/>
      <c r="AO461" s="3"/>
    </row>
    <row r="462" spans="1:41" ht="14.25" customHeight="1" x14ac:dyDescent="0.25">
      <c r="A462" s="3"/>
      <c r="B462" s="40"/>
      <c r="C462" s="42"/>
      <c r="E462" s="3"/>
      <c r="L462" s="34"/>
      <c r="M462" s="34"/>
      <c r="O462" s="18"/>
      <c r="P462" s="18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N462" s="3"/>
      <c r="AO462" s="3"/>
    </row>
    <row r="463" spans="1:41" ht="14.25" customHeight="1" x14ac:dyDescent="0.25">
      <c r="A463" s="3"/>
      <c r="B463" s="40"/>
      <c r="C463" s="42"/>
      <c r="E463" s="3"/>
      <c r="L463" s="34"/>
      <c r="M463" s="34"/>
      <c r="O463" s="18"/>
      <c r="P463" s="18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N463" s="3"/>
      <c r="AO463" s="3"/>
    </row>
    <row r="464" spans="1:41" ht="14.25" customHeight="1" x14ac:dyDescent="0.25">
      <c r="A464" s="3"/>
      <c r="B464" s="40"/>
      <c r="C464" s="42"/>
      <c r="E464" s="3"/>
      <c r="L464" s="34"/>
      <c r="M464" s="34"/>
      <c r="O464" s="18"/>
      <c r="P464" s="18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N464" s="3"/>
      <c r="AO464" s="3"/>
    </row>
    <row r="465" spans="1:41" ht="14.25" customHeight="1" x14ac:dyDescent="0.25">
      <c r="A465" s="3"/>
      <c r="B465" s="40"/>
      <c r="C465" s="42"/>
      <c r="E465" s="3"/>
      <c r="L465" s="34"/>
      <c r="M465" s="34"/>
      <c r="O465" s="18"/>
      <c r="P465" s="18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N465" s="3"/>
      <c r="AO465" s="3"/>
    </row>
    <row r="466" spans="1:41" ht="14.25" customHeight="1" x14ac:dyDescent="0.25">
      <c r="A466" s="3"/>
      <c r="B466" s="40"/>
      <c r="C466" s="42"/>
      <c r="E466" s="3"/>
      <c r="L466" s="34"/>
      <c r="M466" s="34"/>
      <c r="O466" s="18"/>
      <c r="P466" s="18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N466" s="3"/>
      <c r="AO466" s="3"/>
    </row>
    <row r="467" spans="1:41" ht="14.25" customHeight="1" x14ac:dyDescent="0.25">
      <c r="A467" s="3"/>
      <c r="B467" s="40"/>
      <c r="C467" s="42"/>
      <c r="E467" s="3"/>
      <c r="L467" s="34"/>
      <c r="M467" s="34"/>
      <c r="O467" s="18"/>
      <c r="P467" s="18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N467" s="3"/>
      <c r="AO467" s="3"/>
    </row>
    <row r="468" spans="1:41" ht="14.25" customHeight="1" x14ac:dyDescent="0.25">
      <c r="A468" s="3"/>
      <c r="B468" s="40"/>
      <c r="C468" s="42"/>
      <c r="E468" s="3"/>
      <c r="L468" s="34"/>
      <c r="M468" s="34"/>
      <c r="O468" s="18"/>
      <c r="P468" s="18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N468" s="3"/>
      <c r="AO468" s="3"/>
    </row>
    <row r="469" spans="1:41" ht="14.25" customHeight="1" x14ac:dyDescent="0.25">
      <c r="A469" s="3"/>
      <c r="B469" s="40"/>
      <c r="C469" s="42"/>
      <c r="E469" s="3"/>
      <c r="L469" s="34"/>
      <c r="M469" s="34"/>
      <c r="O469" s="18"/>
      <c r="P469" s="18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N469" s="3"/>
      <c r="AO469" s="3"/>
    </row>
    <row r="470" spans="1:41" ht="14.25" customHeight="1" x14ac:dyDescent="0.25">
      <c r="A470" s="3"/>
      <c r="B470" s="40"/>
      <c r="C470" s="42"/>
      <c r="E470" s="3"/>
      <c r="L470" s="34"/>
      <c r="M470" s="34"/>
      <c r="O470" s="18"/>
      <c r="P470" s="18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N470" s="3"/>
      <c r="AO470" s="3"/>
    </row>
    <row r="471" spans="1:41" ht="14.25" customHeight="1" x14ac:dyDescent="0.25">
      <c r="A471" s="3"/>
      <c r="B471" s="40"/>
      <c r="C471" s="42"/>
      <c r="E471" s="3"/>
      <c r="L471" s="34"/>
      <c r="M471" s="34"/>
      <c r="O471" s="18"/>
      <c r="P471" s="18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N471" s="3"/>
      <c r="AO471" s="3"/>
    </row>
    <row r="472" spans="1:41" ht="14.25" customHeight="1" x14ac:dyDescent="0.25">
      <c r="A472" s="3"/>
      <c r="B472" s="40"/>
      <c r="C472" s="42"/>
      <c r="E472" s="3"/>
      <c r="L472" s="34"/>
      <c r="M472" s="34"/>
      <c r="O472" s="18"/>
      <c r="P472" s="18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N472" s="3"/>
      <c r="AO472" s="3"/>
    </row>
    <row r="473" spans="1:41" ht="14.25" customHeight="1" x14ac:dyDescent="0.25">
      <c r="A473" s="3"/>
      <c r="B473" s="40"/>
      <c r="C473" s="42"/>
      <c r="E473" s="3"/>
      <c r="L473" s="34"/>
      <c r="M473" s="34"/>
      <c r="O473" s="18"/>
      <c r="P473" s="18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N473" s="3"/>
      <c r="AO473" s="3"/>
    </row>
    <row r="474" spans="1:41" ht="14.25" customHeight="1" x14ac:dyDescent="0.25">
      <c r="A474" s="3"/>
      <c r="B474" s="40"/>
      <c r="C474" s="42"/>
      <c r="E474" s="3"/>
      <c r="L474" s="34"/>
      <c r="M474" s="34"/>
      <c r="O474" s="18"/>
      <c r="P474" s="18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N474" s="3"/>
      <c r="AO474" s="3"/>
    </row>
    <row r="475" spans="1:41" ht="14.25" customHeight="1" x14ac:dyDescent="0.25">
      <c r="A475" s="3"/>
      <c r="B475" s="40"/>
      <c r="C475" s="42"/>
      <c r="E475" s="3"/>
      <c r="L475" s="34"/>
      <c r="M475" s="34"/>
      <c r="O475" s="18"/>
      <c r="P475" s="18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N475" s="3"/>
      <c r="AO475" s="3"/>
    </row>
    <row r="476" spans="1:41" ht="14.25" customHeight="1" x14ac:dyDescent="0.25">
      <c r="A476" s="3"/>
      <c r="B476" s="40"/>
      <c r="C476" s="42"/>
      <c r="E476" s="3"/>
      <c r="L476" s="34"/>
      <c r="M476" s="34"/>
      <c r="O476" s="18"/>
      <c r="P476" s="18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N476" s="3"/>
      <c r="AO476" s="3"/>
    </row>
    <row r="477" spans="1:41" ht="14.25" customHeight="1" x14ac:dyDescent="0.25">
      <c r="A477" s="3"/>
      <c r="B477" s="40"/>
      <c r="C477" s="42"/>
      <c r="E477" s="3"/>
      <c r="L477" s="34"/>
      <c r="M477" s="34"/>
      <c r="O477" s="18"/>
      <c r="P477" s="18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N477" s="3"/>
      <c r="AO477" s="3"/>
    </row>
    <row r="478" spans="1:41" ht="14.25" customHeight="1" x14ac:dyDescent="0.25">
      <c r="A478" s="3"/>
      <c r="B478" s="40"/>
      <c r="C478" s="42"/>
      <c r="E478" s="3"/>
      <c r="L478" s="34"/>
      <c r="M478" s="34"/>
      <c r="O478" s="18"/>
      <c r="P478" s="18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N478" s="3"/>
      <c r="AO478" s="3"/>
    </row>
    <row r="479" spans="1:41" ht="14.25" customHeight="1" x14ac:dyDescent="0.25">
      <c r="A479" s="3"/>
      <c r="B479" s="40"/>
      <c r="C479" s="42"/>
      <c r="E479" s="3"/>
      <c r="L479" s="34"/>
      <c r="M479" s="34"/>
      <c r="O479" s="18"/>
      <c r="P479" s="18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N479" s="3"/>
      <c r="AO479" s="3"/>
    </row>
    <row r="480" spans="1:41" ht="14.25" customHeight="1" x14ac:dyDescent="0.25">
      <c r="A480" s="3"/>
      <c r="B480" s="40"/>
      <c r="C480" s="42"/>
      <c r="E480" s="3"/>
      <c r="L480" s="34"/>
      <c r="M480" s="34"/>
      <c r="O480" s="18"/>
      <c r="P480" s="18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N480" s="3"/>
      <c r="AO480" s="3"/>
    </row>
    <row r="481" spans="1:41" ht="14.25" customHeight="1" x14ac:dyDescent="0.25">
      <c r="A481" s="3"/>
      <c r="B481" s="40"/>
      <c r="C481" s="42"/>
      <c r="E481" s="3"/>
      <c r="L481" s="34"/>
      <c r="M481" s="34"/>
      <c r="O481" s="18"/>
      <c r="P481" s="18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N481" s="3"/>
      <c r="AO481" s="3"/>
    </row>
    <row r="482" spans="1:41" ht="14.25" customHeight="1" x14ac:dyDescent="0.25">
      <c r="A482" s="3"/>
      <c r="B482" s="40"/>
      <c r="C482" s="42"/>
      <c r="E482" s="3"/>
      <c r="L482" s="34"/>
      <c r="M482" s="34"/>
      <c r="O482" s="18"/>
      <c r="P482" s="18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N482" s="3"/>
      <c r="AO482" s="3"/>
    </row>
    <row r="483" spans="1:41" ht="14.25" customHeight="1" x14ac:dyDescent="0.25">
      <c r="A483" s="3"/>
      <c r="B483" s="40"/>
      <c r="C483" s="42"/>
      <c r="E483" s="3"/>
      <c r="L483" s="34"/>
      <c r="M483" s="34"/>
      <c r="O483" s="18"/>
      <c r="P483" s="18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N483" s="3"/>
      <c r="AO483" s="3"/>
    </row>
    <row r="484" spans="1:41" ht="14.25" customHeight="1" x14ac:dyDescent="0.25">
      <c r="A484" s="3"/>
      <c r="B484" s="40"/>
      <c r="C484" s="42"/>
      <c r="E484" s="3"/>
      <c r="L484" s="34"/>
      <c r="M484" s="34"/>
      <c r="O484" s="18"/>
      <c r="P484" s="18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N484" s="3"/>
      <c r="AO484" s="3"/>
    </row>
    <row r="485" spans="1:41" ht="14.25" customHeight="1" x14ac:dyDescent="0.25">
      <c r="A485" s="3"/>
      <c r="B485" s="40"/>
      <c r="C485" s="42"/>
      <c r="E485" s="3"/>
      <c r="L485" s="34"/>
      <c r="M485" s="34"/>
      <c r="O485" s="18"/>
      <c r="P485" s="18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N485" s="3"/>
      <c r="AO485" s="3"/>
    </row>
    <row r="486" spans="1:41" ht="14.25" customHeight="1" x14ac:dyDescent="0.25">
      <c r="A486" s="3"/>
      <c r="B486" s="40"/>
      <c r="C486" s="42"/>
      <c r="E486" s="3"/>
      <c r="L486" s="34"/>
      <c r="M486" s="34"/>
      <c r="O486" s="18"/>
      <c r="P486" s="18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N486" s="3"/>
      <c r="AO486" s="3"/>
    </row>
    <row r="487" spans="1:41" ht="14.25" customHeight="1" x14ac:dyDescent="0.25">
      <c r="A487" s="3"/>
      <c r="B487" s="40"/>
      <c r="C487" s="42"/>
      <c r="E487" s="3"/>
      <c r="L487" s="34"/>
      <c r="M487" s="34"/>
      <c r="O487" s="18"/>
      <c r="P487" s="18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N487" s="3"/>
      <c r="AO487" s="3"/>
    </row>
    <row r="488" spans="1:41" ht="14.25" customHeight="1" x14ac:dyDescent="0.25">
      <c r="A488" s="3"/>
      <c r="B488" s="40"/>
      <c r="C488" s="42"/>
      <c r="E488" s="3"/>
      <c r="L488" s="34"/>
      <c r="M488" s="34"/>
      <c r="O488" s="18"/>
      <c r="P488" s="18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N488" s="3"/>
      <c r="AO488" s="3"/>
    </row>
    <row r="489" spans="1:41" ht="14.25" customHeight="1" x14ac:dyDescent="0.25">
      <c r="A489" s="3"/>
      <c r="B489" s="40"/>
      <c r="C489" s="42"/>
      <c r="E489" s="3"/>
      <c r="L489" s="34"/>
      <c r="M489" s="34"/>
      <c r="O489" s="18"/>
      <c r="P489" s="18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N489" s="3"/>
      <c r="AO489" s="3"/>
    </row>
    <row r="490" spans="1:41" ht="14.25" customHeight="1" x14ac:dyDescent="0.25">
      <c r="A490" s="3"/>
      <c r="B490" s="40"/>
      <c r="C490" s="42"/>
      <c r="E490" s="3"/>
      <c r="L490" s="34"/>
      <c r="M490" s="34"/>
      <c r="O490" s="18"/>
      <c r="P490" s="18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N490" s="3"/>
      <c r="AO490" s="3"/>
    </row>
    <row r="491" spans="1:41" ht="14.25" customHeight="1" x14ac:dyDescent="0.25">
      <c r="A491" s="3"/>
      <c r="B491" s="40"/>
      <c r="C491" s="42"/>
      <c r="E491" s="3"/>
      <c r="L491" s="34"/>
      <c r="M491" s="34"/>
      <c r="O491" s="18"/>
      <c r="P491" s="18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N491" s="3"/>
      <c r="AO491" s="3"/>
    </row>
    <row r="492" spans="1:41" ht="14.25" customHeight="1" x14ac:dyDescent="0.25">
      <c r="A492" s="3"/>
      <c r="B492" s="40"/>
      <c r="C492" s="42"/>
      <c r="E492" s="3"/>
      <c r="L492" s="34"/>
      <c r="M492" s="34"/>
      <c r="O492" s="18"/>
      <c r="P492" s="18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N492" s="3"/>
      <c r="AO492" s="3"/>
    </row>
    <row r="493" spans="1:41" ht="14.25" customHeight="1" x14ac:dyDescent="0.25">
      <c r="A493" s="3"/>
      <c r="B493" s="40"/>
      <c r="C493" s="42"/>
      <c r="E493" s="3"/>
      <c r="L493" s="34"/>
      <c r="M493" s="34"/>
      <c r="O493" s="18"/>
      <c r="P493" s="18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N493" s="3"/>
      <c r="AO493" s="3"/>
    </row>
    <row r="494" spans="1:41" ht="14.25" customHeight="1" x14ac:dyDescent="0.25">
      <c r="A494" s="3"/>
      <c r="B494" s="40"/>
      <c r="C494" s="42"/>
      <c r="E494" s="3"/>
      <c r="L494" s="34"/>
      <c r="M494" s="34"/>
      <c r="O494" s="18"/>
      <c r="P494" s="18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N494" s="3"/>
      <c r="AO494" s="3"/>
    </row>
    <row r="495" spans="1:41" ht="14.25" customHeight="1" x14ac:dyDescent="0.25">
      <c r="A495" s="3"/>
      <c r="B495" s="40"/>
      <c r="C495" s="42"/>
      <c r="E495" s="3"/>
      <c r="L495" s="34"/>
      <c r="M495" s="34"/>
      <c r="O495" s="18"/>
      <c r="P495" s="18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N495" s="3"/>
      <c r="AO495" s="3"/>
    </row>
    <row r="496" spans="1:41" ht="14.25" customHeight="1" x14ac:dyDescent="0.25">
      <c r="A496" s="3"/>
      <c r="B496" s="40"/>
      <c r="C496" s="42"/>
      <c r="E496" s="3"/>
      <c r="L496" s="34"/>
      <c r="M496" s="34"/>
      <c r="O496" s="18"/>
      <c r="P496" s="18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N496" s="3"/>
      <c r="AO496" s="3"/>
    </row>
    <row r="497" spans="1:41" ht="14.25" customHeight="1" x14ac:dyDescent="0.25">
      <c r="A497" s="3"/>
      <c r="B497" s="40"/>
      <c r="C497" s="42"/>
      <c r="E497" s="3"/>
      <c r="L497" s="34"/>
      <c r="M497" s="34"/>
      <c r="O497" s="18"/>
      <c r="P497" s="18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N497" s="3"/>
      <c r="AO497" s="3"/>
    </row>
    <row r="498" spans="1:41" ht="14.25" customHeight="1" x14ac:dyDescent="0.25">
      <c r="A498" s="3"/>
      <c r="B498" s="40"/>
      <c r="C498" s="42"/>
      <c r="E498" s="3"/>
      <c r="L498" s="34"/>
      <c r="M498" s="34"/>
      <c r="O498" s="18"/>
      <c r="P498" s="18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N498" s="3"/>
      <c r="AO498" s="3"/>
    </row>
    <row r="499" spans="1:41" ht="14.25" customHeight="1" x14ac:dyDescent="0.25">
      <c r="A499" s="3"/>
      <c r="B499" s="40"/>
      <c r="C499" s="42"/>
      <c r="E499" s="3"/>
      <c r="L499" s="34"/>
      <c r="M499" s="34"/>
      <c r="O499" s="18"/>
      <c r="P499" s="18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N499" s="3"/>
      <c r="AO499" s="3"/>
    </row>
    <row r="500" spans="1:41" ht="14.25" customHeight="1" x14ac:dyDescent="0.25">
      <c r="A500" s="3"/>
      <c r="B500" s="40"/>
      <c r="C500" s="42"/>
      <c r="E500" s="3"/>
      <c r="L500" s="34"/>
      <c r="M500" s="34"/>
      <c r="O500" s="18"/>
      <c r="P500" s="18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N500" s="3"/>
      <c r="AO500" s="3"/>
    </row>
    <row r="501" spans="1:41" ht="14.25" customHeight="1" x14ac:dyDescent="0.25">
      <c r="A501" s="3"/>
      <c r="B501" s="40"/>
      <c r="C501" s="42"/>
      <c r="E501" s="3"/>
      <c r="L501" s="34"/>
      <c r="M501" s="34"/>
      <c r="O501" s="18"/>
      <c r="P501" s="18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N501" s="3"/>
      <c r="AO501" s="3"/>
    </row>
    <row r="502" spans="1:41" ht="14.25" customHeight="1" x14ac:dyDescent="0.25">
      <c r="A502" s="3"/>
      <c r="B502" s="40"/>
      <c r="C502" s="42"/>
      <c r="E502" s="3"/>
      <c r="L502" s="34"/>
      <c r="M502" s="34"/>
      <c r="O502" s="18"/>
      <c r="P502" s="18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N502" s="3"/>
      <c r="AO502" s="3"/>
    </row>
    <row r="503" spans="1:41" ht="14.25" customHeight="1" x14ac:dyDescent="0.25">
      <c r="A503" s="3"/>
      <c r="B503" s="40"/>
      <c r="C503" s="42"/>
      <c r="E503" s="3"/>
      <c r="L503" s="34"/>
      <c r="M503" s="34"/>
      <c r="O503" s="18"/>
      <c r="P503" s="18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N503" s="3"/>
      <c r="AO503" s="3"/>
    </row>
    <row r="504" spans="1:41" ht="14.25" customHeight="1" x14ac:dyDescent="0.25">
      <c r="A504" s="3"/>
      <c r="B504" s="40"/>
      <c r="C504" s="42"/>
      <c r="E504" s="3"/>
      <c r="L504" s="34"/>
      <c r="M504" s="34"/>
      <c r="O504" s="18"/>
      <c r="P504" s="18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N504" s="3"/>
      <c r="AO504" s="3"/>
    </row>
    <row r="505" spans="1:41" ht="14.25" customHeight="1" x14ac:dyDescent="0.25">
      <c r="A505" s="3"/>
      <c r="B505" s="40"/>
      <c r="C505" s="42"/>
      <c r="E505" s="3"/>
      <c r="L505" s="34"/>
      <c r="M505" s="34"/>
      <c r="O505" s="18"/>
      <c r="P505" s="18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N505" s="3"/>
      <c r="AO505" s="3"/>
    </row>
    <row r="506" spans="1:41" ht="14.25" customHeight="1" x14ac:dyDescent="0.25">
      <c r="A506" s="3"/>
      <c r="B506" s="40"/>
      <c r="C506" s="42"/>
      <c r="E506" s="3"/>
      <c r="L506" s="34"/>
      <c r="M506" s="34"/>
      <c r="O506" s="18"/>
      <c r="P506" s="18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N506" s="3"/>
      <c r="AO506" s="3"/>
    </row>
    <row r="507" spans="1:41" ht="14.25" customHeight="1" x14ac:dyDescent="0.25">
      <c r="A507" s="3"/>
      <c r="B507" s="40"/>
      <c r="C507" s="42"/>
      <c r="E507" s="3"/>
      <c r="L507" s="34"/>
      <c r="M507" s="34"/>
      <c r="O507" s="18"/>
      <c r="P507" s="18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N507" s="3"/>
      <c r="AO507" s="3"/>
    </row>
    <row r="508" spans="1:41" ht="14.25" customHeight="1" x14ac:dyDescent="0.25">
      <c r="A508" s="3"/>
      <c r="B508" s="40"/>
      <c r="C508" s="42"/>
      <c r="E508" s="3"/>
      <c r="L508" s="34"/>
      <c r="M508" s="34"/>
      <c r="O508" s="18"/>
      <c r="P508" s="18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N508" s="3"/>
      <c r="AO508" s="3"/>
    </row>
    <row r="509" spans="1:41" ht="14.25" customHeight="1" x14ac:dyDescent="0.25">
      <c r="A509" s="3"/>
      <c r="B509" s="40"/>
      <c r="C509" s="42"/>
      <c r="E509" s="3"/>
      <c r="L509" s="34"/>
      <c r="M509" s="34"/>
      <c r="O509" s="18"/>
      <c r="P509" s="18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N509" s="3"/>
      <c r="AO509" s="3"/>
    </row>
    <row r="510" spans="1:41" ht="14.25" customHeight="1" x14ac:dyDescent="0.25">
      <c r="A510" s="3"/>
      <c r="B510" s="40"/>
      <c r="C510" s="42"/>
      <c r="E510" s="3"/>
      <c r="L510" s="34"/>
      <c r="M510" s="34"/>
      <c r="O510" s="18"/>
      <c r="P510" s="18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N510" s="3"/>
      <c r="AO510" s="3"/>
    </row>
    <row r="511" spans="1:41" ht="14.25" customHeight="1" x14ac:dyDescent="0.25">
      <c r="A511" s="3"/>
      <c r="B511" s="40"/>
      <c r="C511" s="42"/>
      <c r="E511" s="3"/>
      <c r="L511" s="34"/>
      <c r="M511" s="34"/>
      <c r="O511" s="18"/>
      <c r="P511" s="18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N511" s="3"/>
      <c r="AO511" s="3"/>
    </row>
    <row r="512" spans="1:41" ht="14.25" customHeight="1" x14ac:dyDescent="0.25">
      <c r="A512" s="3"/>
      <c r="B512" s="40"/>
      <c r="C512" s="42"/>
      <c r="E512" s="3"/>
      <c r="L512" s="34"/>
      <c r="M512" s="34"/>
      <c r="O512" s="18"/>
      <c r="P512" s="18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N512" s="3"/>
      <c r="AO512" s="3"/>
    </row>
    <row r="513" spans="1:41" ht="14.25" customHeight="1" x14ac:dyDescent="0.25">
      <c r="A513" s="3"/>
      <c r="B513" s="40"/>
      <c r="C513" s="42"/>
      <c r="E513" s="3"/>
      <c r="L513" s="34"/>
      <c r="M513" s="34"/>
      <c r="O513" s="18"/>
      <c r="P513" s="18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N513" s="3"/>
      <c r="AO513" s="3"/>
    </row>
    <row r="514" spans="1:41" ht="14.25" customHeight="1" x14ac:dyDescent="0.25">
      <c r="A514" s="3"/>
      <c r="B514" s="40"/>
      <c r="C514" s="42"/>
      <c r="E514" s="3"/>
      <c r="L514" s="34"/>
      <c r="M514" s="34"/>
      <c r="O514" s="18"/>
      <c r="P514" s="18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N514" s="3"/>
      <c r="AO514" s="3"/>
    </row>
    <row r="515" spans="1:41" ht="14.25" customHeight="1" x14ac:dyDescent="0.25">
      <c r="A515" s="3"/>
      <c r="B515" s="40"/>
      <c r="C515" s="42"/>
      <c r="E515" s="3"/>
      <c r="L515" s="34"/>
      <c r="M515" s="34"/>
      <c r="O515" s="18"/>
      <c r="P515" s="18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N515" s="3"/>
      <c r="AO515" s="3"/>
    </row>
    <row r="516" spans="1:41" ht="14.25" customHeight="1" x14ac:dyDescent="0.25">
      <c r="A516" s="3"/>
      <c r="B516" s="40"/>
      <c r="C516" s="42"/>
      <c r="E516" s="3"/>
      <c r="L516" s="34"/>
      <c r="M516" s="34"/>
      <c r="O516" s="18"/>
      <c r="P516" s="18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N516" s="3"/>
      <c r="AO516" s="3"/>
    </row>
    <row r="517" spans="1:41" ht="14.25" customHeight="1" x14ac:dyDescent="0.25">
      <c r="A517" s="3"/>
      <c r="B517" s="40"/>
      <c r="C517" s="42"/>
      <c r="E517" s="3"/>
      <c r="L517" s="34"/>
      <c r="M517" s="34"/>
      <c r="O517" s="18"/>
      <c r="P517" s="18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N517" s="3"/>
      <c r="AO517" s="3"/>
    </row>
    <row r="518" spans="1:41" ht="14.25" customHeight="1" x14ac:dyDescent="0.25">
      <c r="A518" s="3"/>
      <c r="B518" s="40"/>
      <c r="C518" s="42"/>
      <c r="E518" s="3"/>
      <c r="L518" s="34"/>
      <c r="M518" s="34"/>
      <c r="O518" s="18"/>
      <c r="P518" s="18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N518" s="3"/>
      <c r="AO518" s="3"/>
    </row>
    <row r="519" spans="1:41" ht="14.25" customHeight="1" x14ac:dyDescent="0.25">
      <c r="A519" s="3"/>
      <c r="B519" s="40"/>
      <c r="C519" s="42"/>
      <c r="E519" s="3"/>
      <c r="L519" s="34"/>
      <c r="M519" s="34"/>
      <c r="O519" s="18"/>
      <c r="P519" s="18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N519" s="3"/>
      <c r="AO519" s="3"/>
    </row>
    <row r="520" spans="1:41" ht="14.25" customHeight="1" x14ac:dyDescent="0.25">
      <c r="A520" s="3"/>
      <c r="B520" s="40"/>
      <c r="C520" s="42"/>
      <c r="E520" s="3"/>
      <c r="L520" s="34"/>
      <c r="M520" s="34"/>
      <c r="O520" s="18"/>
      <c r="P520" s="18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N520" s="3"/>
      <c r="AO520" s="3"/>
    </row>
    <row r="521" spans="1:41" ht="14.25" customHeight="1" x14ac:dyDescent="0.25">
      <c r="A521" s="3"/>
      <c r="B521" s="40"/>
      <c r="C521" s="42"/>
      <c r="E521" s="3"/>
      <c r="L521" s="34"/>
      <c r="M521" s="34"/>
      <c r="O521" s="18"/>
      <c r="P521" s="18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N521" s="3"/>
      <c r="AO521" s="3"/>
    </row>
    <row r="522" spans="1:41" ht="14.25" customHeight="1" x14ac:dyDescent="0.25">
      <c r="A522" s="3"/>
      <c r="B522" s="40"/>
      <c r="C522" s="42"/>
      <c r="E522" s="3"/>
      <c r="L522" s="34"/>
      <c r="M522" s="34"/>
      <c r="O522" s="18"/>
      <c r="P522" s="18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N522" s="3"/>
      <c r="AO522" s="3"/>
    </row>
    <row r="523" spans="1:41" ht="14.25" customHeight="1" x14ac:dyDescent="0.25">
      <c r="A523" s="3"/>
      <c r="B523" s="40"/>
      <c r="C523" s="42"/>
      <c r="E523" s="3"/>
      <c r="L523" s="34"/>
      <c r="M523" s="34"/>
      <c r="O523" s="18"/>
      <c r="P523" s="18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N523" s="3"/>
      <c r="AO523" s="3"/>
    </row>
    <row r="524" spans="1:41" ht="14.25" customHeight="1" x14ac:dyDescent="0.25">
      <c r="A524" s="3"/>
      <c r="B524" s="40"/>
      <c r="C524" s="42"/>
      <c r="E524" s="3"/>
      <c r="L524" s="34"/>
      <c r="M524" s="34"/>
      <c r="O524" s="18"/>
      <c r="P524" s="18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N524" s="3"/>
      <c r="AO524" s="3"/>
    </row>
    <row r="525" spans="1:41" ht="14.25" customHeight="1" x14ac:dyDescent="0.25">
      <c r="A525" s="3"/>
      <c r="B525" s="40"/>
      <c r="C525" s="42"/>
      <c r="E525" s="3"/>
      <c r="L525" s="34"/>
      <c r="M525" s="34"/>
      <c r="O525" s="18"/>
      <c r="P525" s="18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N525" s="3"/>
      <c r="AO525" s="3"/>
    </row>
    <row r="526" spans="1:41" ht="14.25" customHeight="1" x14ac:dyDescent="0.25">
      <c r="A526" s="3"/>
      <c r="B526" s="40"/>
      <c r="C526" s="42"/>
      <c r="E526" s="3"/>
      <c r="L526" s="34"/>
      <c r="M526" s="34"/>
      <c r="O526" s="18"/>
      <c r="P526" s="18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N526" s="3"/>
      <c r="AO526" s="3"/>
    </row>
    <row r="527" spans="1:41" ht="14.25" customHeight="1" x14ac:dyDescent="0.25">
      <c r="A527" s="3"/>
      <c r="B527" s="40"/>
      <c r="C527" s="42"/>
      <c r="E527" s="3"/>
      <c r="L527" s="34"/>
      <c r="M527" s="34"/>
      <c r="O527" s="18"/>
      <c r="P527" s="18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N527" s="3"/>
      <c r="AO527" s="3"/>
    </row>
    <row r="528" spans="1:41" ht="14.25" customHeight="1" x14ac:dyDescent="0.25">
      <c r="A528" s="3"/>
      <c r="B528" s="40"/>
      <c r="C528" s="42"/>
      <c r="E528" s="3"/>
      <c r="L528" s="34"/>
      <c r="M528" s="34"/>
      <c r="O528" s="18"/>
      <c r="P528" s="18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N528" s="3"/>
      <c r="AO528" s="3"/>
    </row>
    <row r="529" spans="1:41" ht="14.25" customHeight="1" x14ac:dyDescent="0.25">
      <c r="A529" s="3"/>
      <c r="B529" s="40"/>
      <c r="C529" s="42"/>
      <c r="E529" s="3"/>
      <c r="L529" s="34"/>
      <c r="M529" s="34"/>
      <c r="O529" s="18"/>
      <c r="P529" s="18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N529" s="3"/>
      <c r="AO529" s="3"/>
    </row>
    <row r="530" spans="1:41" ht="14.25" customHeight="1" x14ac:dyDescent="0.25">
      <c r="A530" s="3"/>
      <c r="B530" s="40"/>
      <c r="C530" s="42"/>
      <c r="E530" s="3"/>
      <c r="L530" s="34"/>
      <c r="M530" s="34"/>
      <c r="O530" s="18"/>
      <c r="P530" s="18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N530" s="3"/>
      <c r="AO530" s="3"/>
    </row>
    <row r="531" spans="1:41" ht="14.25" customHeight="1" x14ac:dyDescent="0.25">
      <c r="A531" s="3"/>
      <c r="B531" s="40"/>
      <c r="C531" s="42"/>
      <c r="E531" s="3"/>
      <c r="L531" s="34"/>
      <c r="M531" s="34"/>
      <c r="O531" s="18"/>
      <c r="P531" s="18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N531" s="3"/>
      <c r="AO531" s="3"/>
    </row>
    <row r="532" spans="1:41" ht="14.25" customHeight="1" x14ac:dyDescent="0.25">
      <c r="A532" s="3"/>
      <c r="B532" s="40"/>
      <c r="C532" s="42"/>
      <c r="E532" s="3"/>
      <c r="L532" s="34"/>
      <c r="M532" s="34"/>
      <c r="O532" s="18"/>
      <c r="P532" s="18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N532" s="3"/>
      <c r="AO532" s="3"/>
    </row>
    <row r="533" spans="1:41" ht="14.25" customHeight="1" x14ac:dyDescent="0.25">
      <c r="A533" s="3"/>
      <c r="B533" s="40"/>
      <c r="C533" s="42"/>
      <c r="E533" s="3"/>
      <c r="L533" s="34"/>
      <c r="M533" s="34"/>
      <c r="O533" s="18"/>
      <c r="P533" s="18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N533" s="3"/>
      <c r="AO533" s="3"/>
    </row>
    <row r="534" spans="1:41" ht="14.25" customHeight="1" x14ac:dyDescent="0.25">
      <c r="A534" s="3"/>
      <c r="B534" s="40"/>
      <c r="C534" s="42"/>
      <c r="E534" s="3"/>
      <c r="L534" s="34"/>
      <c r="M534" s="34"/>
      <c r="O534" s="18"/>
      <c r="P534" s="18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N534" s="3"/>
      <c r="AO534" s="3"/>
    </row>
    <row r="535" spans="1:41" ht="14.25" customHeight="1" x14ac:dyDescent="0.25">
      <c r="A535" s="3"/>
      <c r="B535" s="40"/>
      <c r="C535" s="42"/>
      <c r="E535" s="3"/>
      <c r="L535" s="34"/>
      <c r="M535" s="34"/>
      <c r="O535" s="18"/>
      <c r="P535" s="18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N535" s="3"/>
      <c r="AO535" s="3"/>
    </row>
    <row r="536" spans="1:41" ht="14.25" customHeight="1" x14ac:dyDescent="0.25">
      <c r="A536" s="3"/>
      <c r="B536" s="40"/>
      <c r="C536" s="42"/>
      <c r="E536" s="3"/>
      <c r="L536" s="34"/>
      <c r="M536" s="34"/>
      <c r="O536" s="18"/>
      <c r="P536" s="18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N536" s="3"/>
      <c r="AO536" s="3"/>
    </row>
    <row r="537" spans="1:41" ht="14.25" customHeight="1" x14ac:dyDescent="0.25">
      <c r="A537" s="3"/>
      <c r="B537" s="40"/>
      <c r="C537" s="42"/>
      <c r="E537" s="3"/>
      <c r="L537" s="34"/>
      <c r="M537" s="34"/>
      <c r="O537" s="18"/>
      <c r="P537" s="18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N537" s="3"/>
      <c r="AO537" s="3"/>
    </row>
    <row r="538" spans="1:41" ht="14.25" customHeight="1" x14ac:dyDescent="0.25">
      <c r="A538" s="3"/>
      <c r="B538" s="40"/>
      <c r="C538" s="42"/>
      <c r="E538" s="3"/>
      <c r="L538" s="34"/>
      <c r="M538" s="34"/>
      <c r="O538" s="18"/>
      <c r="P538" s="18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N538" s="3"/>
      <c r="AO538" s="3"/>
    </row>
    <row r="539" spans="1:41" ht="14.25" customHeight="1" x14ac:dyDescent="0.25">
      <c r="A539" s="3"/>
      <c r="B539" s="40"/>
      <c r="C539" s="42"/>
      <c r="E539" s="3"/>
      <c r="L539" s="34"/>
      <c r="M539" s="34"/>
      <c r="O539" s="18"/>
      <c r="P539" s="18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N539" s="3"/>
      <c r="AO539" s="3"/>
    </row>
    <row r="540" spans="1:41" ht="14.25" customHeight="1" x14ac:dyDescent="0.25">
      <c r="A540" s="3"/>
      <c r="B540" s="40"/>
      <c r="C540" s="42"/>
      <c r="E540" s="3"/>
      <c r="L540" s="34"/>
      <c r="M540" s="34"/>
      <c r="O540" s="18"/>
      <c r="P540" s="18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N540" s="3"/>
      <c r="AO540" s="3"/>
    </row>
    <row r="541" spans="1:41" ht="14.25" customHeight="1" x14ac:dyDescent="0.25">
      <c r="A541" s="3"/>
      <c r="B541" s="40"/>
      <c r="C541" s="42"/>
      <c r="E541" s="3"/>
      <c r="L541" s="34"/>
      <c r="M541" s="34"/>
      <c r="O541" s="18"/>
      <c r="P541" s="18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N541" s="3"/>
      <c r="AO541" s="3"/>
    </row>
    <row r="542" spans="1:41" ht="14.25" customHeight="1" x14ac:dyDescent="0.25">
      <c r="A542" s="3"/>
      <c r="B542" s="40"/>
      <c r="C542" s="42"/>
      <c r="E542" s="3"/>
      <c r="L542" s="34"/>
      <c r="M542" s="34"/>
      <c r="O542" s="18"/>
      <c r="P542" s="18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N542" s="3"/>
      <c r="AO542" s="3"/>
    </row>
    <row r="543" spans="1:41" ht="14.25" customHeight="1" x14ac:dyDescent="0.25">
      <c r="A543" s="3"/>
      <c r="B543" s="40"/>
      <c r="C543" s="42"/>
      <c r="E543" s="3"/>
      <c r="L543" s="34"/>
      <c r="M543" s="34"/>
      <c r="O543" s="18"/>
      <c r="P543" s="18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N543" s="3"/>
      <c r="AO543" s="3"/>
    </row>
    <row r="544" spans="1:41" ht="14.25" customHeight="1" x14ac:dyDescent="0.25">
      <c r="A544" s="3"/>
      <c r="B544" s="40"/>
      <c r="C544" s="42"/>
      <c r="E544" s="3"/>
      <c r="L544" s="34"/>
      <c r="M544" s="34"/>
      <c r="O544" s="18"/>
      <c r="P544" s="18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N544" s="3"/>
      <c r="AO544" s="3"/>
    </row>
    <row r="545" spans="1:41" ht="14.25" customHeight="1" x14ac:dyDescent="0.25">
      <c r="A545" s="3"/>
      <c r="B545" s="40"/>
      <c r="C545" s="42"/>
      <c r="E545" s="3"/>
      <c r="L545" s="34"/>
      <c r="M545" s="34"/>
      <c r="O545" s="18"/>
      <c r="P545" s="18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N545" s="3"/>
      <c r="AO545" s="3"/>
    </row>
    <row r="546" spans="1:41" ht="14.25" customHeight="1" x14ac:dyDescent="0.25">
      <c r="A546" s="3"/>
      <c r="B546" s="40"/>
      <c r="C546" s="42"/>
      <c r="E546" s="3"/>
      <c r="L546" s="34"/>
      <c r="M546" s="34"/>
      <c r="O546" s="18"/>
      <c r="P546" s="18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N546" s="3"/>
      <c r="AO546" s="3"/>
    </row>
    <row r="547" spans="1:41" ht="14.25" customHeight="1" x14ac:dyDescent="0.25">
      <c r="A547" s="3"/>
      <c r="B547" s="40"/>
      <c r="C547" s="42"/>
      <c r="E547" s="3"/>
      <c r="L547" s="34"/>
      <c r="M547" s="34"/>
      <c r="O547" s="18"/>
      <c r="P547" s="18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N547" s="3"/>
      <c r="AO547" s="3"/>
    </row>
    <row r="548" spans="1:41" ht="14.25" customHeight="1" x14ac:dyDescent="0.25">
      <c r="A548" s="3"/>
      <c r="B548" s="40"/>
      <c r="C548" s="42"/>
      <c r="E548" s="3"/>
      <c r="L548" s="34"/>
      <c r="M548" s="34"/>
      <c r="O548" s="18"/>
      <c r="P548" s="18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N548" s="3"/>
      <c r="AO548" s="3"/>
    </row>
    <row r="549" spans="1:41" ht="14.25" customHeight="1" x14ac:dyDescent="0.25">
      <c r="A549" s="3"/>
      <c r="B549" s="40"/>
      <c r="C549" s="42"/>
      <c r="E549" s="3"/>
      <c r="L549" s="34"/>
      <c r="M549" s="34"/>
      <c r="O549" s="18"/>
      <c r="P549" s="18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N549" s="3"/>
      <c r="AO549" s="3"/>
    </row>
    <row r="550" spans="1:41" ht="14.25" customHeight="1" x14ac:dyDescent="0.25">
      <c r="A550" s="3"/>
      <c r="B550" s="40"/>
      <c r="C550" s="42"/>
      <c r="E550" s="3"/>
      <c r="L550" s="34"/>
      <c r="M550" s="34"/>
      <c r="O550" s="18"/>
      <c r="P550" s="18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N550" s="3"/>
      <c r="AO550" s="3"/>
    </row>
    <row r="551" spans="1:41" ht="14.25" customHeight="1" x14ac:dyDescent="0.25">
      <c r="A551" s="3"/>
      <c r="B551" s="40"/>
      <c r="C551" s="42"/>
      <c r="E551" s="3"/>
      <c r="L551" s="34"/>
      <c r="M551" s="34"/>
      <c r="O551" s="18"/>
      <c r="P551" s="18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N551" s="3"/>
      <c r="AO551" s="3"/>
    </row>
    <row r="552" spans="1:41" ht="14.25" customHeight="1" x14ac:dyDescent="0.25">
      <c r="A552" s="3"/>
      <c r="B552" s="40"/>
      <c r="C552" s="42"/>
      <c r="E552" s="3"/>
      <c r="L552" s="34"/>
      <c r="M552" s="34"/>
      <c r="O552" s="18"/>
      <c r="P552" s="18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N552" s="3"/>
      <c r="AO552" s="3"/>
    </row>
    <row r="553" spans="1:41" ht="14.25" customHeight="1" x14ac:dyDescent="0.25">
      <c r="A553" s="3"/>
      <c r="B553" s="40"/>
      <c r="C553" s="42"/>
      <c r="E553" s="3"/>
      <c r="L553" s="34"/>
      <c r="M553" s="34"/>
      <c r="O553" s="18"/>
      <c r="P553" s="18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N553" s="3"/>
      <c r="AO553" s="3"/>
    </row>
    <row r="554" spans="1:41" ht="14.25" customHeight="1" x14ac:dyDescent="0.25">
      <c r="A554" s="3"/>
      <c r="B554" s="40"/>
      <c r="C554" s="42"/>
      <c r="E554" s="3"/>
      <c r="L554" s="34"/>
      <c r="M554" s="34"/>
      <c r="O554" s="18"/>
      <c r="P554" s="18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N554" s="3"/>
      <c r="AO554" s="3"/>
    </row>
    <row r="555" spans="1:41" ht="14.25" customHeight="1" x14ac:dyDescent="0.25">
      <c r="A555" s="3"/>
      <c r="B555" s="40"/>
      <c r="C555" s="42"/>
      <c r="E555" s="3"/>
      <c r="L555" s="34"/>
      <c r="M555" s="34"/>
      <c r="O555" s="18"/>
      <c r="P555" s="18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N555" s="3"/>
      <c r="AO555" s="3"/>
    </row>
    <row r="556" spans="1:41" ht="14.25" customHeight="1" x14ac:dyDescent="0.25">
      <c r="A556" s="3"/>
      <c r="B556" s="40"/>
      <c r="C556" s="42"/>
      <c r="E556" s="3"/>
      <c r="L556" s="34"/>
      <c r="M556" s="34"/>
      <c r="O556" s="18"/>
      <c r="P556" s="18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N556" s="3"/>
      <c r="AO556" s="3"/>
    </row>
    <row r="557" spans="1:41" ht="14.25" customHeight="1" x14ac:dyDescent="0.25">
      <c r="A557" s="3"/>
      <c r="B557" s="40"/>
      <c r="C557" s="42"/>
      <c r="E557" s="3"/>
      <c r="L557" s="34"/>
      <c r="M557" s="34"/>
      <c r="O557" s="18"/>
      <c r="P557" s="18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N557" s="3"/>
      <c r="AO557" s="3"/>
    </row>
    <row r="558" spans="1:41" ht="14.25" customHeight="1" x14ac:dyDescent="0.25">
      <c r="A558" s="3"/>
      <c r="B558" s="40"/>
      <c r="C558" s="42"/>
      <c r="E558" s="3"/>
      <c r="L558" s="34"/>
      <c r="M558" s="34"/>
      <c r="O558" s="18"/>
      <c r="P558" s="18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N558" s="3"/>
      <c r="AO558" s="3"/>
    </row>
    <row r="559" spans="1:41" ht="14.25" customHeight="1" x14ac:dyDescent="0.25">
      <c r="A559" s="3"/>
      <c r="B559" s="40"/>
      <c r="C559" s="42"/>
      <c r="E559" s="3"/>
      <c r="L559" s="34"/>
      <c r="M559" s="34"/>
      <c r="O559" s="18"/>
      <c r="P559" s="18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N559" s="3"/>
      <c r="AO559" s="3"/>
    </row>
    <row r="560" spans="1:41" ht="14.25" customHeight="1" x14ac:dyDescent="0.25">
      <c r="A560" s="3"/>
      <c r="B560" s="40"/>
      <c r="C560" s="42"/>
      <c r="E560" s="3"/>
      <c r="L560" s="34"/>
      <c r="M560" s="34"/>
      <c r="O560" s="18"/>
      <c r="P560" s="18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N560" s="3"/>
      <c r="AO560" s="3"/>
    </row>
    <row r="561" spans="1:41" ht="14.25" customHeight="1" x14ac:dyDescent="0.25">
      <c r="A561" s="3"/>
      <c r="B561" s="40"/>
      <c r="C561" s="42"/>
      <c r="E561" s="3"/>
      <c r="L561" s="34"/>
      <c r="M561" s="34"/>
      <c r="O561" s="18"/>
      <c r="P561" s="18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N561" s="3"/>
      <c r="AO561" s="3"/>
    </row>
    <row r="562" spans="1:41" ht="14.25" customHeight="1" x14ac:dyDescent="0.25">
      <c r="A562" s="3"/>
      <c r="B562" s="40"/>
      <c r="C562" s="42"/>
      <c r="E562" s="3"/>
      <c r="L562" s="34"/>
      <c r="M562" s="34"/>
      <c r="O562" s="18"/>
      <c r="P562" s="18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N562" s="3"/>
      <c r="AO562" s="3"/>
    </row>
    <row r="563" spans="1:41" ht="14.25" customHeight="1" x14ac:dyDescent="0.25">
      <c r="A563" s="3"/>
      <c r="B563" s="40"/>
      <c r="C563" s="42"/>
      <c r="E563" s="3"/>
      <c r="L563" s="34"/>
      <c r="M563" s="34"/>
      <c r="O563" s="18"/>
      <c r="P563" s="18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N563" s="3"/>
      <c r="AO563" s="3"/>
    </row>
    <row r="564" spans="1:41" ht="14.25" customHeight="1" x14ac:dyDescent="0.25">
      <c r="A564" s="3"/>
      <c r="B564" s="40"/>
      <c r="C564" s="42"/>
      <c r="E564" s="3"/>
      <c r="L564" s="34"/>
      <c r="M564" s="34"/>
      <c r="O564" s="18"/>
      <c r="P564" s="18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N564" s="3"/>
      <c r="AO564" s="3"/>
    </row>
    <row r="565" spans="1:41" ht="14.25" customHeight="1" x14ac:dyDescent="0.25">
      <c r="A565" s="3"/>
      <c r="B565" s="40"/>
      <c r="C565" s="42"/>
      <c r="E565" s="3"/>
      <c r="L565" s="34"/>
      <c r="M565" s="34"/>
      <c r="O565" s="18"/>
      <c r="P565" s="18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N565" s="3"/>
      <c r="AO565" s="3"/>
    </row>
    <row r="566" spans="1:41" ht="14.25" customHeight="1" x14ac:dyDescent="0.25">
      <c r="A566" s="3"/>
      <c r="B566" s="40"/>
      <c r="C566" s="42"/>
      <c r="E566" s="3"/>
      <c r="L566" s="34"/>
      <c r="M566" s="34"/>
      <c r="O566" s="18"/>
      <c r="P566" s="18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N566" s="3"/>
      <c r="AO566" s="3"/>
    </row>
    <row r="567" spans="1:41" ht="14.25" customHeight="1" x14ac:dyDescent="0.25">
      <c r="A567" s="3"/>
      <c r="B567" s="40"/>
      <c r="C567" s="42"/>
      <c r="E567" s="3"/>
      <c r="L567" s="34"/>
      <c r="M567" s="34"/>
      <c r="O567" s="18"/>
      <c r="P567" s="18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N567" s="3"/>
      <c r="AO567" s="3"/>
    </row>
    <row r="568" spans="1:41" ht="14.25" customHeight="1" x14ac:dyDescent="0.25">
      <c r="A568" s="3"/>
      <c r="B568" s="40"/>
      <c r="C568" s="42"/>
      <c r="E568" s="3"/>
      <c r="L568" s="34"/>
      <c r="M568" s="34"/>
      <c r="O568" s="18"/>
      <c r="P568" s="18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N568" s="3"/>
      <c r="AO568" s="3"/>
    </row>
    <row r="569" spans="1:41" ht="14.25" customHeight="1" x14ac:dyDescent="0.25">
      <c r="A569" s="3"/>
      <c r="B569" s="40"/>
      <c r="C569" s="42"/>
      <c r="E569" s="3"/>
      <c r="L569" s="34"/>
      <c r="M569" s="34"/>
      <c r="O569" s="18"/>
      <c r="P569" s="18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N569" s="3"/>
      <c r="AO569" s="3"/>
    </row>
    <row r="570" spans="1:41" ht="14.25" customHeight="1" x14ac:dyDescent="0.25">
      <c r="A570" s="3"/>
      <c r="B570" s="40"/>
      <c r="C570" s="42"/>
      <c r="E570" s="3"/>
      <c r="L570" s="34"/>
      <c r="M570" s="34"/>
      <c r="O570" s="18"/>
      <c r="P570" s="18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N570" s="3"/>
      <c r="AO570" s="3"/>
    </row>
    <row r="571" spans="1:41" ht="14.25" customHeight="1" x14ac:dyDescent="0.25">
      <c r="A571" s="3"/>
      <c r="B571" s="40"/>
      <c r="C571" s="42"/>
      <c r="E571" s="3"/>
      <c r="L571" s="34"/>
      <c r="M571" s="34"/>
      <c r="O571" s="18"/>
      <c r="P571" s="18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N571" s="3"/>
      <c r="AO571" s="3"/>
    </row>
    <row r="572" spans="1:41" ht="14.25" customHeight="1" x14ac:dyDescent="0.25">
      <c r="A572" s="3"/>
      <c r="B572" s="40"/>
      <c r="C572" s="42"/>
      <c r="E572" s="3"/>
      <c r="L572" s="34"/>
      <c r="M572" s="34"/>
      <c r="O572" s="18"/>
      <c r="P572" s="18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N572" s="3"/>
      <c r="AO572" s="3"/>
    </row>
    <row r="573" spans="1:41" ht="14.25" customHeight="1" x14ac:dyDescent="0.25">
      <c r="A573" s="3"/>
      <c r="B573" s="40"/>
      <c r="C573" s="42"/>
      <c r="E573" s="3"/>
      <c r="L573" s="34"/>
      <c r="M573" s="34"/>
      <c r="O573" s="18"/>
      <c r="P573" s="18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N573" s="3"/>
      <c r="AO573" s="3"/>
    </row>
    <row r="574" spans="1:41" ht="14.25" customHeight="1" x14ac:dyDescent="0.25">
      <c r="A574" s="3"/>
      <c r="B574" s="40"/>
      <c r="C574" s="42"/>
      <c r="E574" s="3"/>
      <c r="L574" s="34"/>
      <c r="M574" s="34"/>
      <c r="O574" s="18"/>
      <c r="P574" s="18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N574" s="3"/>
      <c r="AO574" s="3"/>
    </row>
    <row r="575" spans="1:41" ht="14.25" customHeight="1" x14ac:dyDescent="0.25">
      <c r="A575" s="3"/>
      <c r="B575" s="40"/>
      <c r="C575" s="42"/>
      <c r="E575" s="3"/>
      <c r="L575" s="34"/>
      <c r="M575" s="34"/>
      <c r="O575" s="18"/>
      <c r="P575" s="18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N575" s="3"/>
      <c r="AO575" s="3"/>
    </row>
    <row r="576" spans="1:41" ht="14.25" customHeight="1" x14ac:dyDescent="0.25">
      <c r="A576" s="3"/>
      <c r="B576" s="40"/>
      <c r="C576" s="42"/>
      <c r="E576" s="3"/>
      <c r="L576" s="34"/>
      <c r="M576" s="34"/>
      <c r="O576" s="18"/>
      <c r="P576" s="18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N576" s="3"/>
      <c r="AO576" s="3"/>
    </row>
    <row r="577" spans="1:41" ht="14.25" customHeight="1" x14ac:dyDescent="0.25">
      <c r="A577" s="3"/>
      <c r="B577" s="40"/>
      <c r="C577" s="42"/>
      <c r="E577" s="3"/>
      <c r="L577" s="34"/>
      <c r="M577" s="34"/>
      <c r="O577" s="18"/>
      <c r="P577" s="18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N577" s="3"/>
      <c r="AO577" s="3"/>
    </row>
    <row r="578" spans="1:41" ht="14.25" customHeight="1" x14ac:dyDescent="0.25">
      <c r="A578" s="3"/>
      <c r="B578" s="40"/>
      <c r="C578" s="42"/>
      <c r="E578" s="3"/>
      <c r="L578" s="34"/>
      <c r="M578" s="34"/>
      <c r="O578" s="18"/>
      <c r="P578" s="18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N578" s="3"/>
      <c r="AO578" s="3"/>
    </row>
    <row r="579" spans="1:41" ht="14.25" customHeight="1" x14ac:dyDescent="0.25">
      <c r="A579" s="3"/>
      <c r="B579" s="40"/>
      <c r="C579" s="42"/>
      <c r="E579" s="3"/>
      <c r="L579" s="34"/>
      <c r="M579" s="34"/>
      <c r="O579" s="18"/>
      <c r="P579" s="18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N579" s="3"/>
      <c r="AO579" s="3"/>
    </row>
    <row r="580" spans="1:41" ht="14.25" customHeight="1" x14ac:dyDescent="0.25">
      <c r="A580" s="3"/>
      <c r="B580" s="40"/>
      <c r="C580" s="42"/>
      <c r="E580" s="3"/>
      <c r="L580" s="34"/>
      <c r="M580" s="34"/>
      <c r="O580" s="18"/>
      <c r="P580" s="18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N580" s="3"/>
      <c r="AO580" s="3"/>
    </row>
    <row r="581" spans="1:41" ht="14.25" customHeight="1" x14ac:dyDescent="0.25">
      <c r="A581" s="3"/>
      <c r="B581" s="40"/>
      <c r="C581" s="42"/>
      <c r="E581" s="3"/>
      <c r="L581" s="34"/>
      <c r="M581" s="34"/>
      <c r="O581" s="18"/>
      <c r="P581" s="18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N581" s="3"/>
      <c r="AO581" s="3"/>
    </row>
    <row r="582" spans="1:41" ht="14.25" customHeight="1" x14ac:dyDescent="0.25">
      <c r="A582" s="3"/>
      <c r="B582" s="40"/>
      <c r="C582" s="42"/>
      <c r="E582" s="3"/>
      <c r="L582" s="34"/>
      <c r="M582" s="34"/>
      <c r="O582" s="18"/>
      <c r="P582" s="18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N582" s="3"/>
      <c r="AO582" s="3"/>
    </row>
    <row r="583" spans="1:41" ht="14.25" customHeight="1" x14ac:dyDescent="0.25">
      <c r="A583" s="3"/>
      <c r="B583" s="40"/>
      <c r="C583" s="42"/>
      <c r="E583" s="3"/>
      <c r="L583" s="34"/>
      <c r="M583" s="34"/>
      <c r="O583" s="18"/>
      <c r="P583" s="18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N583" s="3"/>
      <c r="AO583" s="3"/>
    </row>
    <row r="584" spans="1:41" ht="14.25" customHeight="1" x14ac:dyDescent="0.25">
      <c r="A584" s="3"/>
      <c r="B584" s="40"/>
      <c r="C584" s="42"/>
      <c r="E584" s="3"/>
      <c r="L584" s="34"/>
      <c r="M584" s="34"/>
      <c r="O584" s="18"/>
      <c r="P584" s="18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N584" s="3"/>
      <c r="AO584" s="3"/>
    </row>
    <row r="585" spans="1:41" ht="14.25" customHeight="1" x14ac:dyDescent="0.25">
      <c r="A585" s="3"/>
      <c r="B585" s="40"/>
      <c r="C585" s="42"/>
      <c r="E585" s="3"/>
      <c r="L585" s="34"/>
      <c r="M585" s="34"/>
      <c r="O585" s="18"/>
      <c r="P585" s="18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N585" s="3"/>
      <c r="AO585" s="3"/>
    </row>
    <row r="586" spans="1:41" ht="14.25" customHeight="1" x14ac:dyDescent="0.25">
      <c r="A586" s="3"/>
      <c r="B586" s="40"/>
      <c r="C586" s="42"/>
      <c r="E586" s="3"/>
      <c r="L586" s="34"/>
      <c r="M586" s="34"/>
      <c r="O586" s="18"/>
      <c r="P586" s="18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N586" s="3"/>
      <c r="AO586" s="3"/>
    </row>
    <row r="587" spans="1:41" ht="14.25" customHeight="1" x14ac:dyDescent="0.25">
      <c r="A587" s="3"/>
      <c r="B587" s="40"/>
      <c r="C587" s="42"/>
      <c r="E587" s="3"/>
      <c r="L587" s="34"/>
      <c r="M587" s="34"/>
      <c r="O587" s="18"/>
      <c r="P587" s="18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N587" s="3"/>
      <c r="AO587" s="3"/>
    </row>
    <row r="588" spans="1:41" ht="14.25" customHeight="1" x14ac:dyDescent="0.25">
      <c r="A588" s="3"/>
      <c r="B588" s="40"/>
      <c r="C588" s="42"/>
      <c r="E588" s="3"/>
      <c r="L588" s="34"/>
      <c r="M588" s="34"/>
      <c r="O588" s="18"/>
      <c r="P588" s="18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N588" s="3"/>
      <c r="AO588" s="3"/>
    </row>
    <row r="589" spans="1:41" ht="14.25" customHeight="1" x14ac:dyDescent="0.25">
      <c r="A589" s="3"/>
      <c r="B589" s="40"/>
      <c r="C589" s="42"/>
      <c r="E589" s="3"/>
      <c r="L589" s="34"/>
      <c r="M589" s="34"/>
      <c r="O589" s="18"/>
      <c r="P589" s="18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N589" s="3"/>
      <c r="AO589" s="3"/>
    </row>
    <row r="590" spans="1:41" ht="14.25" customHeight="1" x14ac:dyDescent="0.25">
      <c r="A590" s="3"/>
      <c r="B590" s="40"/>
      <c r="C590" s="42"/>
      <c r="E590" s="3"/>
      <c r="L590" s="34"/>
      <c r="M590" s="34"/>
      <c r="O590" s="18"/>
      <c r="P590" s="18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N590" s="3"/>
      <c r="AO590" s="3"/>
    </row>
    <row r="591" spans="1:41" ht="14.25" customHeight="1" x14ac:dyDescent="0.25">
      <c r="A591" s="3"/>
      <c r="B591" s="40"/>
      <c r="C591" s="42"/>
      <c r="E591" s="3"/>
      <c r="L591" s="34"/>
      <c r="M591" s="34"/>
      <c r="O591" s="18"/>
      <c r="P591" s="18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N591" s="3"/>
      <c r="AO591" s="3"/>
    </row>
    <row r="592" spans="1:41" ht="14.25" customHeight="1" x14ac:dyDescent="0.25">
      <c r="A592" s="3"/>
      <c r="B592" s="40"/>
      <c r="C592" s="42"/>
      <c r="E592" s="3"/>
      <c r="L592" s="34"/>
      <c r="M592" s="34"/>
      <c r="O592" s="18"/>
      <c r="P592" s="18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N592" s="3"/>
      <c r="AO592" s="3"/>
    </row>
    <row r="593" spans="1:41" ht="14.25" customHeight="1" x14ac:dyDescent="0.25">
      <c r="A593" s="3"/>
      <c r="B593" s="40"/>
      <c r="C593" s="42"/>
      <c r="E593" s="3"/>
      <c r="L593" s="34"/>
      <c r="M593" s="34"/>
      <c r="O593" s="18"/>
      <c r="P593" s="18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N593" s="3"/>
      <c r="AO593" s="3"/>
    </row>
    <row r="594" spans="1:41" ht="14.25" customHeight="1" x14ac:dyDescent="0.25">
      <c r="A594" s="3"/>
      <c r="B594" s="40"/>
      <c r="C594" s="42"/>
      <c r="E594" s="3"/>
      <c r="L594" s="34"/>
      <c r="M594" s="34"/>
      <c r="O594" s="18"/>
      <c r="P594" s="18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N594" s="3"/>
      <c r="AO594" s="3"/>
    </row>
    <row r="595" spans="1:41" ht="14.25" customHeight="1" x14ac:dyDescent="0.25">
      <c r="A595" s="3"/>
      <c r="B595" s="40"/>
      <c r="C595" s="42"/>
      <c r="E595" s="3"/>
      <c r="L595" s="34"/>
      <c r="M595" s="34"/>
      <c r="O595" s="18"/>
      <c r="P595" s="18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N595" s="3"/>
      <c r="AO595" s="3"/>
    </row>
    <row r="596" spans="1:41" ht="14.25" customHeight="1" x14ac:dyDescent="0.25">
      <c r="A596" s="3"/>
      <c r="B596" s="40"/>
      <c r="C596" s="42"/>
      <c r="E596" s="3"/>
      <c r="L596" s="34"/>
      <c r="M596" s="34"/>
      <c r="O596" s="18"/>
      <c r="P596" s="18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N596" s="3"/>
      <c r="AO596" s="3"/>
    </row>
    <row r="597" spans="1:41" ht="14.25" customHeight="1" x14ac:dyDescent="0.25">
      <c r="A597" s="3"/>
      <c r="B597" s="40"/>
      <c r="C597" s="42"/>
      <c r="E597" s="3"/>
      <c r="L597" s="34"/>
      <c r="M597" s="34"/>
      <c r="O597" s="18"/>
      <c r="P597" s="18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N597" s="3"/>
      <c r="AO597" s="3"/>
    </row>
    <row r="598" spans="1:41" ht="14.25" customHeight="1" x14ac:dyDescent="0.25">
      <c r="A598" s="3"/>
      <c r="B598" s="40"/>
      <c r="C598" s="42"/>
      <c r="E598" s="3"/>
      <c r="L598" s="34"/>
      <c r="M598" s="34"/>
      <c r="O598" s="18"/>
      <c r="P598" s="18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N598" s="3"/>
      <c r="AO598" s="3"/>
    </row>
    <row r="599" spans="1:41" ht="14.25" customHeight="1" x14ac:dyDescent="0.25">
      <c r="A599" s="3"/>
      <c r="B599" s="40"/>
      <c r="C599" s="42"/>
      <c r="E599" s="3"/>
      <c r="L599" s="34"/>
      <c r="M599" s="34"/>
      <c r="O599" s="18"/>
      <c r="P599" s="18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N599" s="3"/>
      <c r="AO599" s="3"/>
    </row>
    <row r="600" spans="1:41" ht="14.25" customHeight="1" x14ac:dyDescent="0.25">
      <c r="A600" s="3"/>
      <c r="B600" s="40"/>
      <c r="C600" s="42"/>
      <c r="E600" s="3"/>
      <c r="L600" s="34"/>
      <c r="M600" s="34"/>
      <c r="O600" s="18"/>
      <c r="P600" s="18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N600" s="3"/>
      <c r="AO600" s="3"/>
    </row>
    <row r="601" spans="1:41" ht="14.25" customHeight="1" x14ac:dyDescent="0.25">
      <c r="A601" s="3"/>
      <c r="B601" s="40"/>
      <c r="C601" s="42"/>
      <c r="E601" s="3"/>
      <c r="L601" s="34"/>
      <c r="M601" s="34"/>
      <c r="O601" s="18"/>
      <c r="P601" s="18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N601" s="3"/>
      <c r="AO601" s="3"/>
    </row>
    <row r="602" spans="1:41" ht="14.25" customHeight="1" x14ac:dyDescent="0.25">
      <c r="A602" s="3"/>
      <c r="B602" s="40"/>
      <c r="C602" s="42"/>
      <c r="E602" s="3"/>
      <c r="L602" s="34"/>
      <c r="M602" s="34"/>
      <c r="O602" s="18"/>
      <c r="P602" s="18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N602" s="3"/>
      <c r="AO602" s="3"/>
    </row>
    <row r="603" spans="1:41" ht="14.25" customHeight="1" x14ac:dyDescent="0.25">
      <c r="A603" s="3"/>
      <c r="B603" s="40"/>
      <c r="C603" s="42"/>
      <c r="E603" s="3"/>
      <c r="L603" s="34"/>
      <c r="M603" s="34"/>
      <c r="O603" s="18"/>
      <c r="P603" s="18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N603" s="3"/>
      <c r="AO603" s="3"/>
    </row>
    <row r="604" spans="1:41" ht="14.25" customHeight="1" x14ac:dyDescent="0.25">
      <c r="A604" s="3"/>
      <c r="B604" s="40"/>
      <c r="C604" s="42"/>
      <c r="E604" s="3"/>
      <c r="L604" s="34"/>
      <c r="M604" s="34"/>
      <c r="O604" s="18"/>
      <c r="P604" s="18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N604" s="3"/>
      <c r="AO604" s="3"/>
    </row>
    <row r="605" spans="1:41" ht="14.25" customHeight="1" x14ac:dyDescent="0.25">
      <c r="A605" s="3"/>
      <c r="B605" s="40"/>
      <c r="C605" s="42"/>
      <c r="E605" s="3"/>
      <c r="L605" s="34"/>
      <c r="M605" s="34"/>
      <c r="O605" s="18"/>
      <c r="P605" s="18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N605" s="3"/>
      <c r="AO605" s="3"/>
    </row>
    <row r="606" spans="1:41" ht="14.25" customHeight="1" x14ac:dyDescent="0.25">
      <c r="A606" s="3"/>
      <c r="B606" s="40"/>
      <c r="C606" s="42"/>
      <c r="E606" s="3"/>
      <c r="L606" s="34"/>
      <c r="M606" s="34"/>
      <c r="O606" s="18"/>
      <c r="P606" s="18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N606" s="3"/>
      <c r="AO606" s="3"/>
    </row>
    <row r="607" spans="1:41" ht="14.25" customHeight="1" x14ac:dyDescent="0.25">
      <c r="A607" s="3"/>
      <c r="B607" s="40"/>
      <c r="C607" s="42"/>
      <c r="E607" s="3"/>
      <c r="L607" s="34"/>
      <c r="M607" s="34"/>
      <c r="O607" s="18"/>
      <c r="P607" s="18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N607" s="3"/>
      <c r="AO607" s="3"/>
    </row>
    <row r="608" spans="1:41" ht="14.25" customHeight="1" x14ac:dyDescent="0.25">
      <c r="A608" s="3"/>
      <c r="B608" s="40"/>
      <c r="C608" s="42"/>
      <c r="E608" s="3"/>
      <c r="L608" s="34"/>
      <c r="M608" s="34"/>
      <c r="O608" s="18"/>
      <c r="P608" s="18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N608" s="3"/>
      <c r="AO608" s="3"/>
    </row>
    <row r="609" spans="1:41" ht="14.25" customHeight="1" x14ac:dyDescent="0.25">
      <c r="A609" s="3"/>
      <c r="B609" s="40"/>
      <c r="C609" s="42"/>
      <c r="E609" s="3"/>
      <c r="L609" s="34"/>
      <c r="M609" s="34"/>
      <c r="O609" s="18"/>
      <c r="P609" s="18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N609" s="3"/>
      <c r="AO609" s="3"/>
    </row>
    <row r="610" spans="1:41" ht="14.25" customHeight="1" x14ac:dyDescent="0.25">
      <c r="A610" s="3"/>
      <c r="B610" s="40"/>
      <c r="C610" s="42"/>
      <c r="E610" s="3"/>
      <c r="L610" s="34"/>
      <c r="M610" s="34"/>
      <c r="O610" s="18"/>
      <c r="P610" s="18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N610" s="3"/>
      <c r="AO610" s="3"/>
    </row>
    <row r="611" spans="1:41" ht="14.25" customHeight="1" x14ac:dyDescent="0.25">
      <c r="A611" s="3"/>
      <c r="B611" s="40"/>
      <c r="C611" s="42"/>
      <c r="E611" s="3"/>
      <c r="L611" s="34"/>
      <c r="M611" s="34"/>
      <c r="O611" s="18"/>
      <c r="P611" s="18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N611" s="3"/>
      <c r="AO611" s="3"/>
    </row>
    <row r="612" spans="1:41" ht="14.25" customHeight="1" x14ac:dyDescent="0.25">
      <c r="A612" s="3"/>
      <c r="B612" s="40"/>
      <c r="C612" s="42"/>
      <c r="E612" s="3"/>
      <c r="L612" s="34"/>
      <c r="M612" s="34"/>
      <c r="O612" s="18"/>
      <c r="P612" s="18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N612" s="3"/>
      <c r="AO612" s="3"/>
    </row>
    <row r="613" spans="1:41" ht="14.25" customHeight="1" x14ac:dyDescent="0.25">
      <c r="A613" s="3"/>
      <c r="B613" s="40"/>
      <c r="C613" s="42"/>
      <c r="E613" s="3"/>
      <c r="L613" s="34"/>
      <c r="M613" s="34"/>
      <c r="O613" s="18"/>
      <c r="P613" s="18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N613" s="3"/>
      <c r="AO613" s="3"/>
    </row>
    <row r="614" spans="1:41" ht="14.25" customHeight="1" x14ac:dyDescent="0.25">
      <c r="A614" s="3"/>
      <c r="B614" s="40"/>
      <c r="C614" s="42"/>
      <c r="E614" s="3"/>
      <c r="L614" s="34"/>
      <c r="M614" s="34"/>
      <c r="O614" s="18"/>
      <c r="P614" s="18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N614" s="3"/>
      <c r="AO614" s="3"/>
    </row>
    <row r="615" spans="1:41" ht="14.25" customHeight="1" x14ac:dyDescent="0.25">
      <c r="A615" s="3"/>
      <c r="B615" s="40"/>
      <c r="C615" s="42"/>
      <c r="E615" s="3"/>
      <c r="L615" s="34"/>
      <c r="M615" s="34"/>
      <c r="O615" s="18"/>
      <c r="P615" s="18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N615" s="3"/>
      <c r="AO615" s="3"/>
    </row>
    <row r="616" spans="1:41" ht="14.25" customHeight="1" x14ac:dyDescent="0.25">
      <c r="A616" s="3"/>
      <c r="B616" s="40"/>
      <c r="C616" s="42"/>
      <c r="E616" s="3"/>
      <c r="L616" s="34"/>
      <c r="M616" s="34"/>
      <c r="O616" s="18"/>
      <c r="P616" s="18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N616" s="3"/>
      <c r="AO616" s="3"/>
    </row>
    <row r="617" spans="1:41" ht="14.25" customHeight="1" x14ac:dyDescent="0.25">
      <c r="A617" s="3"/>
      <c r="B617" s="40"/>
      <c r="C617" s="42"/>
      <c r="E617" s="3"/>
      <c r="L617" s="34"/>
      <c r="M617" s="34"/>
      <c r="O617" s="18"/>
      <c r="P617" s="18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N617" s="3"/>
      <c r="AO617" s="3"/>
    </row>
    <row r="618" spans="1:41" ht="14.25" customHeight="1" x14ac:dyDescent="0.25">
      <c r="A618" s="3"/>
      <c r="B618" s="40"/>
      <c r="C618" s="42"/>
      <c r="E618" s="3"/>
      <c r="L618" s="34"/>
      <c r="M618" s="34"/>
      <c r="O618" s="18"/>
      <c r="P618" s="18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N618" s="3"/>
      <c r="AO618" s="3"/>
    </row>
    <row r="619" spans="1:41" ht="14.25" customHeight="1" x14ac:dyDescent="0.25">
      <c r="A619" s="3"/>
      <c r="B619" s="40"/>
      <c r="C619" s="42"/>
      <c r="E619" s="3"/>
      <c r="L619" s="34"/>
      <c r="M619" s="34"/>
      <c r="O619" s="18"/>
      <c r="P619" s="18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N619" s="3"/>
      <c r="AO619" s="3"/>
    </row>
    <row r="620" spans="1:41" ht="14.25" customHeight="1" x14ac:dyDescent="0.25">
      <c r="A620" s="3"/>
      <c r="B620" s="40"/>
      <c r="C620" s="42"/>
      <c r="E620" s="3"/>
      <c r="L620" s="34"/>
      <c r="M620" s="34"/>
      <c r="O620" s="18"/>
      <c r="P620" s="18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N620" s="3"/>
      <c r="AO620" s="3"/>
    </row>
    <row r="621" spans="1:41" ht="14.25" customHeight="1" x14ac:dyDescent="0.25">
      <c r="A621" s="3"/>
      <c r="B621" s="40"/>
      <c r="C621" s="42"/>
      <c r="E621" s="3"/>
      <c r="L621" s="34"/>
      <c r="M621" s="34"/>
      <c r="O621" s="18"/>
      <c r="P621" s="18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N621" s="3"/>
      <c r="AO621" s="3"/>
    </row>
    <row r="622" spans="1:41" ht="14.25" customHeight="1" x14ac:dyDescent="0.25">
      <c r="A622" s="3"/>
      <c r="B622" s="40"/>
      <c r="C622" s="42"/>
      <c r="E622" s="3"/>
      <c r="L622" s="34"/>
      <c r="M622" s="34"/>
      <c r="O622" s="18"/>
      <c r="P622" s="18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N622" s="3"/>
      <c r="AO622" s="3"/>
    </row>
    <row r="623" spans="1:41" ht="14.25" customHeight="1" x14ac:dyDescent="0.25">
      <c r="A623" s="3"/>
      <c r="B623" s="40"/>
      <c r="C623" s="42"/>
      <c r="E623" s="3"/>
      <c r="L623" s="34"/>
      <c r="M623" s="34"/>
      <c r="O623" s="18"/>
      <c r="P623" s="18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N623" s="3"/>
      <c r="AO623" s="3"/>
    </row>
    <row r="624" spans="1:41" ht="14.25" customHeight="1" x14ac:dyDescent="0.25">
      <c r="A624" s="3"/>
      <c r="B624" s="40"/>
      <c r="C624" s="42"/>
      <c r="E624" s="3"/>
      <c r="L624" s="34"/>
      <c r="M624" s="34"/>
      <c r="O624" s="18"/>
      <c r="P624" s="18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N624" s="3"/>
      <c r="AO624" s="3"/>
    </row>
    <row r="625" spans="1:41" ht="14.25" customHeight="1" x14ac:dyDescent="0.25">
      <c r="A625" s="3"/>
      <c r="B625" s="40"/>
      <c r="C625" s="42"/>
      <c r="E625" s="3"/>
      <c r="L625" s="34"/>
      <c r="M625" s="34"/>
      <c r="O625" s="18"/>
      <c r="P625" s="18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N625" s="3"/>
      <c r="AO625" s="3"/>
    </row>
    <row r="626" spans="1:41" ht="14.25" customHeight="1" x14ac:dyDescent="0.25">
      <c r="A626" s="3"/>
      <c r="B626" s="40"/>
      <c r="C626" s="42"/>
      <c r="E626" s="3"/>
      <c r="L626" s="34"/>
      <c r="M626" s="34"/>
      <c r="O626" s="18"/>
      <c r="P626" s="18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N626" s="3"/>
      <c r="AO626" s="3"/>
    </row>
    <row r="627" spans="1:41" ht="14.25" customHeight="1" x14ac:dyDescent="0.25">
      <c r="A627" s="3"/>
      <c r="B627" s="40"/>
      <c r="C627" s="42"/>
      <c r="E627" s="3"/>
      <c r="L627" s="34"/>
      <c r="M627" s="34"/>
      <c r="O627" s="18"/>
      <c r="P627" s="18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N627" s="3"/>
      <c r="AO627" s="3"/>
    </row>
    <row r="628" spans="1:41" ht="14.25" customHeight="1" x14ac:dyDescent="0.25">
      <c r="A628" s="3"/>
      <c r="B628" s="40"/>
      <c r="C628" s="42"/>
      <c r="E628" s="3"/>
      <c r="L628" s="34"/>
      <c r="M628" s="34"/>
      <c r="O628" s="18"/>
      <c r="P628" s="18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N628" s="3"/>
      <c r="AO628" s="3"/>
    </row>
    <row r="629" spans="1:41" ht="14.25" customHeight="1" x14ac:dyDescent="0.25">
      <c r="A629" s="3"/>
      <c r="B629" s="40"/>
      <c r="C629" s="42"/>
      <c r="E629" s="3"/>
      <c r="L629" s="34"/>
      <c r="M629" s="34"/>
      <c r="O629" s="18"/>
      <c r="P629" s="18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N629" s="3"/>
      <c r="AO629" s="3"/>
    </row>
    <row r="630" spans="1:41" ht="14.25" customHeight="1" x14ac:dyDescent="0.25">
      <c r="A630" s="3"/>
      <c r="B630" s="40"/>
      <c r="C630" s="42"/>
      <c r="E630" s="3"/>
      <c r="L630" s="34"/>
      <c r="M630" s="34"/>
      <c r="O630" s="18"/>
      <c r="P630" s="18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N630" s="3"/>
      <c r="AO630" s="3"/>
    </row>
    <row r="631" spans="1:41" ht="14.25" customHeight="1" x14ac:dyDescent="0.25">
      <c r="A631" s="3"/>
      <c r="B631" s="40"/>
      <c r="C631" s="42"/>
      <c r="E631" s="3"/>
      <c r="L631" s="34"/>
      <c r="M631" s="34"/>
      <c r="O631" s="18"/>
      <c r="P631" s="18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N631" s="3"/>
      <c r="AO631" s="3"/>
    </row>
    <row r="632" spans="1:41" ht="14.25" customHeight="1" x14ac:dyDescent="0.25">
      <c r="A632" s="3"/>
      <c r="B632" s="40"/>
      <c r="C632" s="42"/>
      <c r="E632" s="3"/>
      <c r="L632" s="34"/>
      <c r="M632" s="34"/>
      <c r="O632" s="18"/>
      <c r="P632" s="18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N632" s="3"/>
      <c r="AO632" s="3"/>
    </row>
    <row r="633" spans="1:41" ht="14.25" customHeight="1" x14ac:dyDescent="0.25">
      <c r="A633" s="3"/>
      <c r="B633" s="40"/>
      <c r="C633" s="42"/>
      <c r="E633" s="3"/>
      <c r="L633" s="34"/>
      <c r="M633" s="34"/>
      <c r="O633" s="18"/>
      <c r="P633" s="18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N633" s="3"/>
      <c r="AO633" s="3"/>
    </row>
    <row r="634" spans="1:41" ht="14.25" customHeight="1" x14ac:dyDescent="0.25">
      <c r="A634" s="3"/>
      <c r="B634" s="40"/>
      <c r="C634" s="42"/>
      <c r="E634" s="3"/>
      <c r="L634" s="34"/>
      <c r="M634" s="34"/>
      <c r="O634" s="18"/>
      <c r="P634" s="18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N634" s="3"/>
      <c r="AO634" s="3"/>
    </row>
    <row r="635" spans="1:41" ht="14.25" customHeight="1" x14ac:dyDescent="0.25">
      <c r="A635" s="3"/>
      <c r="B635" s="40"/>
      <c r="C635" s="42"/>
      <c r="E635" s="3"/>
      <c r="L635" s="34"/>
      <c r="M635" s="34"/>
      <c r="O635" s="18"/>
      <c r="P635" s="18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N635" s="3"/>
      <c r="AO635" s="3"/>
    </row>
    <row r="636" spans="1:41" ht="14.25" customHeight="1" x14ac:dyDescent="0.25">
      <c r="A636" s="3"/>
      <c r="B636" s="40"/>
      <c r="C636" s="42"/>
      <c r="E636" s="3"/>
      <c r="L636" s="34"/>
      <c r="M636" s="34"/>
      <c r="O636" s="18"/>
      <c r="P636" s="18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N636" s="3"/>
      <c r="AO636" s="3"/>
    </row>
    <row r="637" spans="1:41" ht="14.25" customHeight="1" x14ac:dyDescent="0.25">
      <c r="A637" s="3"/>
      <c r="B637" s="40"/>
      <c r="C637" s="42"/>
      <c r="E637" s="3"/>
      <c r="L637" s="34"/>
      <c r="M637" s="34"/>
      <c r="O637" s="18"/>
      <c r="P637" s="18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N637" s="3"/>
      <c r="AO637" s="3"/>
    </row>
    <row r="638" spans="1:41" ht="14.25" customHeight="1" x14ac:dyDescent="0.25">
      <c r="A638" s="3"/>
      <c r="B638" s="40"/>
      <c r="C638" s="42"/>
      <c r="E638" s="3"/>
      <c r="L638" s="34"/>
      <c r="M638" s="34"/>
      <c r="O638" s="18"/>
      <c r="P638" s="18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N638" s="3"/>
      <c r="AO638" s="3"/>
    </row>
    <row r="639" spans="1:41" ht="14.25" customHeight="1" x14ac:dyDescent="0.25">
      <c r="A639" s="3"/>
      <c r="B639" s="40"/>
      <c r="C639" s="42"/>
      <c r="E639" s="3"/>
      <c r="L639" s="34"/>
      <c r="M639" s="34"/>
      <c r="O639" s="18"/>
      <c r="P639" s="18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N639" s="3"/>
      <c r="AO639" s="3"/>
    </row>
    <row r="640" spans="1:41" ht="14.25" customHeight="1" x14ac:dyDescent="0.25">
      <c r="A640" s="3"/>
      <c r="B640" s="40"/>
      <c r="C640" s="42"/>
      <c r="E640" s="3"/>
      <c r="L640" s="34"/>
      <c r="M640" s="34"/>
      <c r="O640" s="18"/>
      <c r="P640" s="18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N640" s="3"/>
      <c r="AO640" s="3"/>
    </row>
    <row r="641" spans="1:41" ht="14.25" customHeight="1" x14ac:dyDescent="0.25">
      <c r="A641" s="3"/>
      <c r="B641" s="40"/>
      <c r="C641" s="42"/>
      <c r="E641" s="3"/>
      <c r="L641" s="34"/>
      <c r="M641" s="34"/>
      <c r="O641" s="18"/>
      <c r="P641" s="18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N641" s="3"/>
      <c r="AO641" s="3"/>
    </row>
    <row r="642" spans="1:41" ht="14.25" customHeight="1" x14ac:dyDescent="0.25">
      <c r="A642" s="3"/>
      <c r="B642" s="40"/>
      <c r="C642" s="42"/>
      <c r="E642" s="3"/>
      <c r="L642" s="34"/>
      <c r="M642" s="34"/>
      <c r="O642" s="18"/>
      <c r="P642" s="18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N642" s="3"/>
      <c r="AO642" s="3"/>
    </row>
    <row r="643" spans="1:41" ht="14.25" customHeight="1" x14ac:dyDescent="0.25">
      <c r="A643" s="3"/>
      <c r="B643" s="40"/>
      <c r="C643" s="42"/>
      <c r="E643" s="3"/>
      <c r="L643" s="34"/>
      <c r="M643" s="34"/>
      <c r="O643" s="18"/>
      <c r="P643" s="18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N643" s="3"/>
      <c r="AO643" s="3"/>
    </row>
    <row r="644" spans="1:41" ht="14.25" customHeight="1" x14ac:dyDescent="0.25">
      <c r="A644" s="3"/>
      <c r="B644" s="40"/>
      <c r="C644" s="42"/>
      <c r="E644" s="3"/>
      <c r="L644" s="34"/>
      <c r="M644" s="34"/>
      <c r="O644" s="18"/>
      <c r="P644" s="18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N644" s="3"/>
      <c r="AO644" s="3"/>
    </row>
    <row r="645" spans="1:41" ht="14.25" customHeight="1" x14ac:dyDescent="0.25">
      <c r="A645" s="3"/>
      <c r="B645" s="40"/>
      <c r="C645" s="42"/>
      <c r="E645" s="3"/>
      <c r="L645" s="34"/>
      <c r="M645" s="34"/>
      <c r="O645" s="18"/>
      <c r="P645" s="18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N645" s="3"/>
      <c r="AO645" s="3"/>
    </row>
    <row r="646" spans="1:41" ht="14.25" customHeight="1" x14ac:dyDescent="0.25">
      <c r="A646" s="3"/>
      <c r="B646" s="40"/>
      <c r="C646" s="42"/>
      <c r="E646" s="3"/>
      <c r="L646" s="34"/>
      <c r="M646" s="34"/>
      <c r="O646" s="18"/>
      <c r="P646" s="18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N646" s="3"/>
      <c r="AO646" s="3"/>
    </row>
    <row r="647" spans="1:41" ht="14.25" customHeight="1" x14ac:dyDescent="0.25">
      <c r="A647" s="3"/>
      <c r="B647" s="40"/>
      <c r="C647" s="42"/>
      <c r="E647" s="3"/>
      <c r="L647" s="34"/>
      <c r="M647" s="34"/>
      <c r="O647" s="18"/>
      <c r="P647" s="18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N647" s="3"/>
      <c r="AO647" s="3"/>
    </row>
    <row r="648" spans="1:41" ht="14.25" customHeight="1" x14ac:dyDescent="0.25">
      <c r="A648" s="3"/>
      <c r="B648" s="40"/>
      <c r="C648" s="42"/>
      <c r="E648" s="3"/>
      <c r="L648" s="34"/>
      <c r="M648" s="34"/>
      <c r="O648" s="18"/>
      <c r="P648" s="18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N648" s="3"/>
      <c r="AO648" s="3"/>
    </row>
    <row r="649" spans="1:41" ht="14.25" customHeight="1" x14ac:dyDescent="0.25">
      <c r="A649" s="3"/>
      <c r="B649" s="40"/>
      <c r="C649" s="42"/>
      <c r="E649" s="3"/>
      <c r="L649" s="34"/>
      <c r="M649" s="34"/>
      <c r="O649" s="18"/>
      <c r="P649" s="18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N649" s="3"/>
      <c r="AO649" s="3"/>
    </row>
    <row r="650" spans="1:41" ht="14.25" customHeight="1" x14ac:dyDescent="0.25">
      <c r="A650" s="3"/>
      <c r="B650" s="40"/>
      <c r="C650" s="42"/>
      <c r="E650" s="3"/>
      <c r="L650" s="34"/>
      <c r="M650" s="34"/>
      <c r="O650" s="18"/>
      <c r="P650" s="18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N650" s="3"/>
      <c r="AO650" s="3"/>
    </row>
    <row r="651" spans="1:41" ht="14.25" customHeight="1" x14ac:dyDescent="0.25">
      <c r="A651" s="3"/>
      <c r="B651" s="40"/>
      <c r="C651" s="42"/>
      <c r="E651" s="3"/>
      <c r="L651" s="34"/>
      <c r="M651" s="34"/>
      <c r="O651" s="18"/>
      <c r="P651" s="18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N651" s="3"/>
      <c r="AO651" s="3"/>
    </row>
    <row r="652" spans="1:41" ht="14.25" customHeight="1" x14ac:dyDescent="0.25">
      <c r="A652" s="3"/>
      <c r="B652" s="40"/>
      <c r="C652" s="42"/>
      <c r="E652" s="3"/>
      <c r="L652" s="34"/>
      <c r="M652" s="34"/>
      <c r="O652" s="18"/>
      <c r="P652" s="18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N652" s="3"/>
      <c r="AO652" s="3"/>
    </row>
    <row r="653" spans="1:41" ht="14.25" customHeight="1" x14ac:dyDescent="0.25">
      <c r="A653" s="3"/>
      <c r="B653" s="40"/>
      <c r="C653" s="42"/>
      <c r="E653" s="3"/>
      <c r="L653" s="34"/>
      <c r="M653" s="34"/>
      <c r="O653" s="18"/>
      <c r="P653" s="18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N653" s="3"/>
      <c r="AO653" s="3"/>
    </row>
    <row r="654" spans="1:41" ht="14.25" customHeight="1" x14ac:dyDescent="0.25">
      <c r="A654" s="3"/>
      <c r="B654" s="40"/>
      <c r="C654" s="42"/>
      <c r="E654" s="3"/>
      <c r="L654" s="34"/>
      <c r="M654" s="34"/>
      <c r="O654" s="18"/>
      <c r="P654" s="18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N654" s="3"/>
      <c r="AO654" s="3"/>
    </row>
    <row r="655" spans="1:41" ht="14.25" customHeight="1" x14ac:dyDescent="0.25">
      <c r="A655" s="3"/>
      <c r="B655" s="40"/>
      <c r="C655" s="42"/>
      <c r="E655" s="3"/>
      <c r="L655" s="34"/>
      <c r="M655" s="34"/>
      <c r="O655" s="18"/>
      <c r="P655" s="18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N655" s="3"/>
      <c r="AO655" s="3"/>
    </row>
    <row r="656" spans="1:41" ht="14.25" customHeight="1" x14ac:dyDescent="0.25">
      <c r="A656" s="3"/>
      <c r="B656" s="40"/>
      <c r="C656" s="42"/>
      <c r="E656" s="3"/>
      <c r="L656" s="34"/>
      <c r="M656" s="34"/>
      <c r="O656" s="18"/>
      <c r="P656" s="18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N656" s="3"/>
      <c r="AO656" s="3"/>
    </row>
    <row r="657" spans="1:41" ht="14.25" customHeight="1" x14ac:dyDescent="0.25">
      <c r="A657" s="3"/>
      <c r="B657" s="40"/>
      <c r="C657" s="42"/>
      <c r="E657" s="3"/>
      <c r="L657" s="34"/>
      <c r="M657" s="34"/>
      <c r="O657" s="18"/>
      <c r="P657" s="18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N657" s="3"/>
      <c r="AO657" s="3"/>
    </row>
    <row r="658" spans="1:41" ht="14.25" customHeight="1" x14ac:dyDescent="0.25">
      <c r="A658" s="3"/>
      <c r="B658" s="40"/>
      <c r="C658" s="42"/>
      <c r="E658" s="3"/>
      <c r="L658" s="34"/>
      <c r="M658" s="34"/>
      <c r="O658" s="18"/>
      <c r="P658" s="18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N658" s="3"/>
      <c r="AO658" s="3"/>
    </row>
    <row r="659" spans="1:41" ht="14.25" customHeight="1" x14ac:dyDescent="0.25">
      <c r="A659" s="3"/>
      <c r="B659" s="40"/>
      <c r="C659" s="42"/>
      <c r="E659" s="3"/>
      <c r="L659" s="34"/>
      <c r="M659" s="34"/>
      <c r="O659" s="18"/>
      <c r="P659" s="18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N659" s="3"/>
      <c r="AO659" s="3"/>
    </row>
    <row r="660" spans="1:41" ht="14.25" customHeight="1" x14ac:dyDescent="0.25">
      <c r="A660" s="3"/>
      <c r="B660" s="40"/>
      <c r="C660" s="42"/>
      <c r="E660" s="3"/>
      <c r="L660" s="34"/>
      <c r="M660" s="34"/>
      <c r="O660" s="18"/>
      <c r="P660" s="18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N660" s="3"/>
      <c r="AO660" s="3"/>
    </row>
    <row r="661" spans="1:41" ht="14.25" customHeight="1" x14ac:dyDescent="0.25">
      <c r="A661" s="3"/>
      <c r="B661" s="40"/>
      <c r="C661" s="42"/>
      <c r="E661" s="3"/>
      <c r="L661" s="34"/>
      <c r="M661" s="34"/>
      <c r="O661" s="18"/>
      <c r="P661" s="18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N661" s="3"/>
      <c r="AO661" s="3"/>
    </row>
    <row r="662" spans="1:41" ht="14.25" customHeight="1" x14ac:dyDescent="0.25">
      <c r="A662" s="3"/>
      <c r="B662" s="40"/>
      <c r="C662" s="42"/>
      <c r="E662" s="3"/>
      <c r="L662" s="34"/>
      <c r="M662" s="34"/>
      <c r="O662" s="18"/>
      <c r="P662" s="18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N662" s="3"/>
      <c r="AO662" s="3"/>
    </row>
    <row r="663" spans="1:41" ht="14.25" customHeight="1" x14ac:dyDescent="0.25">
      <c r="A663" s="3"/>
      <c r="B663" s="40"/>
      <c r="C663" s="42"/>
      <c r="E663" s="3"/>
      <c r="L663" s="34"/>
      <c r="M663" s="34"/>
      <c r="O663" s="18"/>
      <c r="P663" s="18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N663" s="3"/>
      <c r="AO663" s="3"/>
    </row>
    <row r="664" spans="1:41" ht="14.25" customHeight="1" x14ac:dyDescent="0.25">
      <c r="A664" s="3"/>
      <c r="B664" s="40"/>
      <c r="C664" s="42"/>
      <c r="E664" s="3"/>
      <c r="L664" s="34"/>
      <c r="M664" s="34"/>
      <c r="O664" s="18"/>
      <c r="P664" s="18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N664" s="3"/>
      <c r="AO664" s="3"/>
    </row>
    <row r="665" spans="1:41" ht="14.25" customHeight="1" x14ac:dyDescent="0.25">
      <c r="A665" s="3"/>
      <c r="B665" s="40"/>
      <c r="C665" s="42"/>
      <c r="E665" s="3"/>
      <c r="L665" s="34"/>
      <c r="M665" s="34"/>
      <c r="O665" s="18"/>
      <c r="P665" s="18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N665" s="3"/>
      <c r="AO665" s="3"/>
    </row>
    <row r="666" spans="1:41" ht="14.25" customHeight="1" x14ac:dyDescent="0.25">
      <c r="A666" s="3"/>
      <c r="B666" s="40"/>
      <c r="C666" s="42"/>
      <c r="E666" s="3"/>
      <c r="L666" s="34"/>
      <c r="M666" s="34"/>
      <c r="O666" s="18"/>
      <c r="P666" s="18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N666" s="3"/>
      <c r="AO666" s="3"/>
    </row>
    <row r="667" spans="1:41" ht="14.25" customHeight="1" x14ac:dyDescent="0.25">
      <c r="A667" s="3"/>
      <c r="B667" s="40"/>
      <c r="C667" s="42"/>
      <c r="E667" s="3"/>
      <c r="L667" s="34"/>
      <c r="M667" s="34"/>
      <c r="O667" s="18"/>
      <c r="P667" s="18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N667" s="3"/>
      <c r="AO667" s="3"/>
    </row>
    <row r="668" spans="1:41" ht="14.25" customHeight="1" x14ac:dyDescent="0.25">
      <c r="A668" s="3"/>
      <c r="B668" s="40"/>
      <c r="C668" s="42"/>
      <c r="E668" s="3"/>
      <c r="L668" s="34"/>
      <c r="M668" s="34"/>
      <c r="O668" s="18"/>
      <c r="P668" s="18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N668" s="3"/>
      <c r="AO668" s="3"/>
    </row>
    <row r="669" spans="1:41" ht="14.25" customHeight="1" x14ac:dyDescent="0.25">
      <c r="A669" s="3"/>
      <c r="B669" s="40"/>
      <c r="C669" s="42"/>
      <c r="E669" s="3"/>
      <c r="L669" s="34"/>
      <c r="M669" s="34"/>
      <c r="O669" s="18"/>
      <c r="P669" s="18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N669" s="3"/>
      <c r="AO669" s="3"/>
    </row>
    <row r="670" spans="1:41" ht="14.25" customHeight="1" x14ac:dyDescent="0.25">
      <c r="A670" s="3"/>
      <c r="B670" s="40"/>
      <c r="C670" s="42"/>
      <c r="E670" s="3"/>
      <c r="L670" s="34"/>
      <c r="M670" s="34"/>
      <c r="O670" s="18"/>
      <c r="P670" s="18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N670" s="3"/>
      <c r="AO670" s="3"/>
    </row>
    <row r="671" spans="1:41" ht="14.25" customHeight="1" x14ac:dyDescent="0.25">
      <c r="A671" s="3"/>
      <c r="B671" s="40"/>
      <c r="C671" s="42"/>
      <c r="E671" s="3"/>
      <c r="L671" s="34"/>
      <c r="M671" s="34"/>
      <c r="O671" s="18"/>
      <c r="P671" s="18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N671" s="3"/>
      <c r="AO671" s="3"/>
    </row>
    <row r="672" spans="1:41" ht="14.25" customHeight="1" x14ac:dyDescent="0.25">
      <c r="A672" s="3"/>
      <c r="B672" s="40"/>
      <c r="C672" s="42"/>
      <c r="E672" s="3"/>
      <c r="L672" s="34"/>
      <c r="M672" s="34"/>
      <c r="O672" s="18"/>
      <c r="P672" s="18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N672" s="3"/>
      <c r="AO672" s="3"/>
    </row>
    <row r="673" spans="1:41" ht="14.25" customHeight="1" x14ac:dyDescent="0.25">
      <c r="A673" s="3"/>
      <c r="B673" s="40"/>
      <c r="C673" s="42"/>
      <c r="E673" s="3"/>
      <c r="L673" s="34"/>
      <c r="M673" s="34"/>
      <c r="O673" s="18"/>
      <c r="P673" s="18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N673" s="3"/>
      <c r="AO673" s="3"/>
    </row>
    <row r="674" spans="1:41" ht="14.25" customHeight="1" x14ac:dyDescent="0.25">
      <c r="A674" s="3"/>
      <c r="B674" s="40"/>
      <c r="C674" s="42"/>
      <c r="E674" s="3"/>
      <c r="L674" s="34"/>
      <c r="M674" s="34"/>
      <c r="O674" s="18"/>
      <c r="P674" s="18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N674" s="3"/>
      <c r="AO674" s="3"/>
    </row>
    <row r="675" spans="1:41" ht="14.25" customHeight="1" x14ac:dyDescent="0.25">
      <c r="A675" s="3"/>
      <c r="B675" s="40"/>
      <c r="C675" s="42"/>
      <c r="E675" s="3"/>
      <c r="L675" s="34"/>
      <c r="M675" s="34"/>
      <c r="O675" s="18"/>
      <c r="P675" s="18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N675" s="3"/>
      <c r="AO675" s="3"/>
    </row>
    <row r="676" spans="1:41" ht="14.25" customHeight="1" x14ac:dyDescent="0.25">
      <c r="A676" s="3"/>
      <c r="B676" s="40"/>
      <c r="C676" s="42"/>
      <c r="E676" s="3"/>
      <c r="L676" s="34"/>
      <c r="M676" s="34"/>
      <c r="O676" s="18"/>
      <c r="P676" s="18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N676" s="3"/>
      <c r="AO676" s="3"/>
    </row>
    <row r="677" spans="1:41" ht="14.25" customHeight="1" x14ac:dyDescent="0.25">
      <c r="A677" s="3"/>
      <c r="B677" s="40"/>
      <c r="C677" s="42"/>
      <c r="E677" s="3"/>
      <c r="L677" s="34"/>
      <c r="M677" s="34"/>
      <c r="O677" s="18"/>
      <c r="P677" s="18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N677" s="3"/>
      <c r="AO677" s="3"/>
    </row>
    <row r="678" spans="1:41" ht="14.25" customHeight="1" x14ac:dyDescent="0.25">
      <c r="A678" s="3"/>
      <c r="B678" s="40"/>
      <c r="C678" s="42"/>
      <c r="E678" s="3"/>
      <c r="L678" s="34"/>
      <c r="M678" s="34"/>
      <c r="O678" s="18"/>
      <c r="P678" s="18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N678" s="3"/>
      <c r="AO678" s="3"/>
    </row>
    <row r="679" spans="1:41" ht="14.25" customHeight="1" x14ac:dyDescent="0.25">
      <c r="A679" s="3"/>
      <c r="B679" s="40"/>
      <c r="C679" s="42"/>
      <c r="E679" s="3"/>
      <c r="L679" s="34"/>
      <c r="M679" s="34"/>
      <c r="O679" s="18"/>
      <c r="P679" s="18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N679" s="3"/>
      <c r="AO679" s="3"/>
    </row>
    <row r="680" spans="1:41" ht="14.25" customHeight="1" x14ac:dyDescent="0.25">
      <c r="A680" s="3"/>
      <c r="B680" s="40"/>
      <c r="C680" s="42"/>
      <c r="E680" s="3"/>
      <c r="L680" s="34"/>
      <c r="M680" s="34"/>
      <c r="O680" s="18"/>
      <c r="P680" s="18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N680" s="3"/>
      <c r="AO680" s="3"/>
    </row>
    <row r="681" spans="1:41" ht="14.25" customHeight="1" x14ac:dyDescent="0.25">
      <c r="A681" s="3"/>
      <c r="B681" s="40"/>
      <c r="C681" s="42"/>
      <c r="E681" s="3"/>
      <c r="L681" s="34"/>
      <c r="M681" s="34"/>
      <c r="O681" s="18"/>
      <c r="P681" s="18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N681" s="3"/>
      <c r="AO681" s="3"/>
    </row>
    <row r="682" spans="1:41" ht="14.25" customHeight="1" x14ac:dyDescent="0.25">
      <c r="A682" s="3"/>
      <c r="B682" s="40"/>
      <c r="C682" s="42"/>
      <c r="E682" s="3"/>
      <c r="L682" s="34"/>
      <c r="M682" s="34"/>
      <c r="O682" s="18"/>
      <c r="P682" s="18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N682" s="3"/>
      <c r="AO682" s="3"/>
    </row>
    <row r="683" spans="1:41" ht="14.25" customHeight="1" x14ac:dyDescent="0.25">
      <c r="A683" s="3"/>
      <c r="B683" s="40"/>
      <c r="C683" s="42"/>
      <c r="E683" s="3"/>
      <c r="L683" s="34"/>
      <c r="M683" s="34"/>
      <c r="O683" s="18"/>
      <c r="P683" s="18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N683" s="3"/>
      <c r="AO683" s="3"/>
    </row>
    <row r="684" spans="1:41" ht="14.25" customHeight="1" x14ac:dyDescent="0.25">
      <c r="A684" s="3"/>
      <c r="B684" s="40"/>
      <c r="C684" s="42"/>
      <c r="E684" s="3"/>
      <c r="L684" s="34"/>
      <c r="M684" s="34"/>
      <c r="O684" s="18"/>
      <c r="P684" s="18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N684" s="3"/>
      <c r="AO684" s="3"/>
    </row>
    <row r="685" spans="1:41" ht="14.25" customHeight="1" x14ac:dyDescent="0.25">
      <c r="A685" s="3"/>
      <c r="B685" s="40"/>
      <c r="C685" s="42"/>
      <c r="E685" s="3"/>
      <c r="L685" s="34"/>
      <c r="M685" s="34"/>
      <c r="O685" s="18"/>
      <c r="P685" s="18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N685" s="3"/>
      <c r="AO685" s="3"/>
    </row>
    <row r="686" spans="1:41" ht="14.25" customHeight="1" x14ac:dyDescent="0.25">
      <c r="A686" s="3"/>
      <c r="B686" s="40"/>
      <c r="C686" s="42"/>
      <c r="E686" s="3"/>
      <c r="L686" s="34"/>
      <c r="M686" s="34"/>
      <c r="O686" s="18"/>
      <c r="P686" s="18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N686" s="3"/>
      <c r="AO686" s="3"/>
    </row>
    <row r="687" spans="1:41" ht="14.25" customHeight="1" x14ac:dyDescent="0.25">
      <c r="A687" s="3"/>
      <c r="B687" s="40"/>
      <c r="C687" s="42"/>
      <c r="E687" s="3"/>
      <c r="L687" s="34"/>
      <c r="M687" s="34"/>
      <c r="O687" s="18"/>
      <c r="P687" s="18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N687" s="3"/>
      <c r="AO687" s="3"/>
    </row>
    <row r="688" spans="1:41" ht="14.25" customHeight="1" x14ac:dyDescent="0.25">
      <c r="A688" s="3"/>
      <c r="B688" s="40"/>
      <c r="C688" s="42"/>
      <c r="E688" s="3"/>
      <c r="L688" s="34"/>
      <c r="M688" s="34"/>
      <c r="O688" s="18"/>
      <c r="P688" s="18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N688" s="3"/>
      <c r="AO688" s="3"/>
    </row>
    <row r="689" spans="1:41" ht="14.25" customHeight="1" x14ac:dyDescent="0.25">
      <c r="A689" s="3"/>
      <c r="B689" s="40"/>
      <c r="C689" s="42"/>
      <c r="E689" s="3"/>
      <c r="L689" s="34"/>
      <c r="M689" s="34"/>
      <c r="O689" s="18"/>
      <c r="P689" s="18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N689" s="3"/>
      <c r="AO689" s="3"/>
    </row>
    <row r="690" spans="1:41" ht="14.25" customHeight="1" x14ac:dyDescent="0.25">
      <c r="A690" s="3"/>
      <c r="B690" s="40"/>
      <c r="C690" s="42"/>
      <c r="E690" s="3"/>
      <c r="L690" s="34"/>
      <c r="M690" s="34"/>
      <c r="O690" s="18"/>
      <c r="P690" s="18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N690" s="3"/>
      <c r="AO690" s="3"/>
    </row>
    <row r="691" spans="1:41" ht="14.25" customHeight="1" x14ac:dyDescent="0.25">
      <c r="A691" s="3"/>
      <c r="B691" s="40"/>
      <c r="C691" s="42"/>
      <c r="E691" s="3"/>
      <c r="L691" s="34"/>
      <c r="M691" s="34"/>
      <c r="O691" s="18"/>
      <c r="P691" s="18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N691" s="3"/>
      <c r="AO691" s="3"/>
    </row>
    <row r="692" spans="1:41" ht="14.25" customHeight="1" x14ac:dyDescent="0.25">
      <c r="A692" s="3"/>
      <c r="B692" s="40"/>
      <c r="C692" s="42"/>
      <c r="E692" s="3"/>
      <c r="L692" s="34"/>
      <c r="M692" s="34"/>
      <c r="O692" s="18"/>
      <c r="P692" s="18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N692" s="3"/>
      <c r="AO692" s="3"/>
    </row>
    <row r="693" spans="1:41" ht="14.25" customHeight="1" x14ac:dyDescent="0.25">
      <c r="A693" s="3"/>
      <c r="B693" s="40"/>
      <c r="C693" s="42"/>
      <c r="E693" s="3"/>
      <c r="L693" s="34"/>
      <c r="M693" s="34"/>
      <c r="O693" s="18"/>
      <c r="P693" s="18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N693" s="3"/>
      <c r="AO693" s="3"/>
    </row>
    <row r="694" spans="1:41" ht="14.25" customHeight="1" x14ac:dyDescent="0.25">
      <c r="A694" s="3"/>
      <c r="B694" s="40"/>
      <c r="C694" s="42"/>
      <c r="E694" s="3"/>
      <c r="L694" s="34"/>
      <c r="M694" s="34"/>
      <c r="O694" s="18"/>
      <c r="P694" s="18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N694" s="3"/>
      <c r="AO694" s="3"/>
    </row>
    <row r="695" spans="1:41" ht="14.25" customHeight="1" x14ac:dyDescent="0.25">
      <c r="A695" s="3"/>
      <c r="B695" s="40"/>
      <c r="C695" s="42"/>
      <c r="E695" s="3"/>
      <c r="L695" s="34"/>
      <c r="M695" s="34"/>
      <c r="O695" s="18"/>
      <c r="P695" s="18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N695" s="3"/>
      <c r="AO695" s="3"/>
    </row>
    <row r="696" spans="1:41" ht="14.25" customHeight="1" x14ac:dyDescent="0.25">
      <c r="A696" s="3"/>
      <c r="B696" s="40"/>
      <c r="C696" s="42"/>
      <c r="E696" s="3"/>
      <c r="L696" s="34"/>
      <c r="M696" s="34"/>
      <c r="O696" s="18"/>
      <c r="P696" s="18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N696" s="3"/>
      <c r="AO696" s="3"/>
    </row>
    <row r="697" spans="1:41" ht="14.25" customHeight="1" x14ac:dyDescent="0.25">
      <c r="A697" s="3"/>
      <c r="B697" s="40"/>
      <c r="C697" s="42"/>
      <c r="E697" s="3"/>
      <c r="L697" s="34"/>
      <c r="M697" s="34"/>
      <c r="O697" s="18"/>
      <c r="P697" s="18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N697" s="3"/>
      <c r="AO697" s="3"/>
    </row>
    <row r="698" spans="1:41" ht="14.25" customHeight="1" x14ac:dyDescent="0.25">
      <c r="A698" s="3"/>
      <c r="B698" s="40"/>
      <c r="C698" s="42"/>
      <c r="E698" s="3"/>
      <c r="L698" s="34"/>
      <c r="M698" s="34"/>
      <c r="O698" s="18"/>
      <c r="P698" s="18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N698" s="3"/>
      <c r="AO698" s="3"/>
    </row>
    <row r="699" spans="1:41" ht="14.25" customHeight="1" x14ac:dyDescent="0.25">
      <c r="A699" s="3"/>
      <c r="B699" s="40"/>
      <c r="C699" s="42"/>
      <c r="E699" s="3"/>
      <c r="L699" s="34"/>
      <c r="M699" s="34"/>
      <c r="O699" s="18"/>
      <c r="P699" s="18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N699" s="3"/>
      <c r="AO699" s="3"/>
    </row>
    <row r="700" spans="1:41" ht="14.25" customHeight="1" x14ac:dyDescent="0.25">
      <c r="A700" s="3"/>
      <c r="B700" s="40"/>
      <c r="C700" s="42"/>
      <c r="E700" s="3"/>
      <c r="L700" s="34"/>
      <c r="M700" s="34"/>
      <c r="O700" s="18"/>
      <c r="P700" s="18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N700" s="3"/>
      <c r="AO700" s="3"/>
    </row>
    <row r="701" spans="1:41" ht="14.25" customHeight="1" x14ac:dyDescent="0.25">
      <c r="A701" s="3"/>
      <c r="B701" s="40"/>
      <c r="C701" s="42"/>
      <c r="E701" s="3"/>
      <c r="L701" s="34"/>
      <c r="M701" s="34"/>
      <c r="O701" s="18"/>
      <c r="P701" s="18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N701" s="3"/>
      <c r="AO701" s="3"/>
    </row>
    <row r="702" spans="1:41" ht="14.25" customHeight="1" x14ac:dyDescent="0.25">
      <c r="A702" s="3"/>
      <c r="B702" s="40"/>
      <c r="C702" s="42"/>
      <c r="E702" s="3"/>
      <c r="L702" s="34"/>
      <c r="M702" s="34"/>
      <c r="O702" s="18"/>
      <c r="P702" s="18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N702" s="3"/>
      <c r="AO702" s="3"/>
    </row>
    <row r="703" spans="1:41" ht="14.25" customHeight="1" x14ac:dyDescent="0.25">
      <c r="A703" s="3"/>
      <c r="B703" s="40"/>
      <c r="C703" s="42"/>
      <c r="E703" s="3"/>
      <c r="L703" s="34"/>
      <c r="M703" s="34"/>
      <c r="O703" s="18"/>
      <c r="P703" s="18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N703" s="3"/>
      <c r="AO703" s="3"/>
    </row>
    <row r="704" spans="1:41" ht="14.25" customHeight="1" x14ac:dyDescent="0.25">
      <c r="A704" s="3"/>
      <c r="B704" s="40"/>
      <c r="C704" s="42"/>
      <c r="E704" s="3"/>
      <c r="L704" s="34"/>
      <c r="M704" s="34"/>
      <c r="O704" s="18"/>
      <c r="P704" s="18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N704" s="3"/>
      <c r="AO704" s="3"/>
    </row>
    <row r="705" spans="1:41" ht="14.25" customHeight="1" x14ac:dyDescent="0.25">
      <c r="A705" s="3"/>
      <c r="B705" s="40"/>
      <c r="C705" s="42"/>
      <c r="E705" s="3"/>
      <c r="L705" s="34"/>
      <c r="M705" s="34"/>
      <c r="O705" s="18"/>
      <c r="P705" s="18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N705" s="3"/>
      <c r="AO705" s="3"/>
    </row>
    <row r="706" spans="1:41" ht="14.25" customHeight="1" x14ac:dyDescent="0.25">
      <c r="A706" s="3"/>
      <c r="B706" s="40"/>
      <c r="C706" s="42"/>
      <c r="E706" s="3"/>
      <c r="L706" s="34"/>
      <c r="M706" s="34"/>
      <c r="O706" s="18"/>
      <c r="P706" s="18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N706" s="3"/>
      <c r="AO706" s="3"/>
    </row>
    <row r="707" spans="1:41" ht="14.25" customHeight="1" x14ac:dyDescent="0.25">
      <c r="A707" s="3"/>
      <c r="B707" s="40"/>
      <c r="C707" s="42"/>
      <c r="E707" s="3"/>
      <c r="L707" s="34"/>
      <c r="M707" s="34"/>
      <c r="O707" s="18"/>
      <c r="P707" s="18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N707" s="3"/>
      <c r="AO707" s="3"/>
    </row>
    <row r="708" spans="1:41" ht="14.25" customHeight="1" x14ac:dyDescent="0.25">
      <c r="A708" s="3"/>
      <c r="B708" s="40"/>
      <c r="C708" s="42"/>
      <c r="E708" s="3"/>
      <c r="L708" s="34"/>
      <c r="M708" s="34"/>
      <c r="O708" s="18"/>
      <c r="P708" s="18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N708" s="3"/>
      <c r="AO708" s="3"/>
    </row>
    <row r="709" spans="1:41" ht="14.25" customHeight="1" x14ac:dyDescent="0.25">
      <c r="A709" s="3"/>
      <c r="B709" s="40"/>
      <c r="C709" s="42"/>
      <c r="E709" s="3"/>
      <c r="L709" s="34"/>
      <c r="M709" s="34"/>
      <c r="O709" s="18"/>
      <c r="P709" s="18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N709" s="3"/>
      <c r="AO709" s="3"/>
    </row>
    <row r="710" spans="1:41" ht="14.25" customHeight="1" x14ac:dyDescent="0.25">
      <c r="A710" s="3"/>
      <c r="B710" s="40"/>
      <c r="C710" s="42"/>
      <c r="E710" s="3"/>
      <c r="L710" s="34"/>
      <c r="M710" s="34"/>
      <c r="O710" s="18"/>
      <c r="P710" s="18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N710" s="3"/>
      <c r="AO710" s="3"/>
    </row>
    <row r="711" spans="1:41" ht="14.25" customHeight="1" x14ac:dyDescent="0.25">
      <c r="A711" s="3"/>
      <c r="B711" s="40"/>
      <c r="C711" s="42"/>
      <c r="E711" s="3"/>
      <c r="L711" s="34"/>
      <c r="M711" s="34"/>
      <c r="O711" s="18"/>
      <c r="P711" s="18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N711" s="3"/>
      <c r="AO711" s="3"/>
    </row>
    <row r="712" spans="1:41" ht="14.25" customHeight="1" x14ac:dyDescent="0.25">
      <c r="A712" s="3"/>
      <c r="B712" s="40"/>
      <c r="C712" s="42"/>
      <c r="E712" s="3"/>
      <c r="L712" s="34"/>
      <c r="M712" s="34"/>
      <c r="O712" s="18"/>
      <c r="P712" s="18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N712" s="3"/>
      <c r="AO712" s="3"/>
    </row>
    <row r="713" spans="1:41" ht="14.25" customHeight="1" x14ac:dyDescent="0.25">
      <c r="A713" s="3"/>
      <c r="B713" s="40"/>
      <c r="C713" s="42"/>
      <c r="E713" s="3"/>
      <c r="L713" s="34"/>
      <c r="M713" s="34"/>
      <c r="O713" s="18"/>
      <c r="P713" s="18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N713" s="3"/>
      <c r="AO713" s="3"/>
    </row>
    <row r="714" spans="1:41" ht="14.25" customHeight="1" x14ac:dyDescent="0.25">
      <c r="A714" s="3"/>
      <c r="B714" s="40"/>
      <c r="C714" s="42"/>
      <c r="E714" s="3"/>
      <c r="L714" s="34"/>
      <c r="M714" s="34"/>
      <c r="O714" s="18"/>
      <c r="P714" s="18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N714" s="3"/>
      <c r="AO714" s="3"/>
    </row>
    <row r="715" spans="1:41" ht="14.25" customHeight="1" x14ac:dyDescent="0.25">
      <c r="A715" s="3"/>
      <c r="B715" s="40"/>
      <c r="C715" s="42"/>
      <c r="E715" s="3"/>
      <c r="L715" s="34"/>
      <c r="M715" s="34"/>
      <c r="O715" s="18"/>
      <c r="P715" s="18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N715" s="3"/>
      <c r="AO715" s="3"/>
    </row>
    <row r="716" spans="1:41" ht="14.25" customHeight="1" x14ac:dyDescent="0.25">
      <c r="A716" s="3"/>
      <c r="B716" s="40"/>
      <c r="C716" s="42"/>
      <c r="E716" s="3"/>
      <c r="L716" s="34"/>
      <c r="M716" s="34"/>
      <c r="O716" s="18"/>
      <c r="P716" s="18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N716" s="3"/>
      <c r="AO716" s="3"/>
    </row>
    <row r="717" spans="1:41" ht="14.25" customHeight="1" x14ac:dyDescent="0.25">
      <c r="A717" s="3"/>
      <c r="B717" s="40"/>
      <c r="C717" s="42"/>
      <c r="E717" s="3"/>
      <c r="L717" s="34"/>
      <c r="M717" s="34"/>
      <c r="O717" s="18"/>
      <c r="P717" s="18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N717" s="3"/>
      <c r="AO717" s="3"/>
    </row>
    <row r="718" spans="1:41" ht="14.25" customHeight="1" x14ac:dyDescent="0.25">
      <c r="A718" s="3"/>
      <c r="B718" s="40"/>
      <c r="C718" s="42"/>
      <c r="E718" s="3"/>
      <c r="L718" s="34"/>
      <c r="M718" s="34"/>
      <c r="O718" s="18"/>
      <c r="P718" s="18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N718" s="3"/>
      <c r="AO718" s="3"/>
    </row>
    <row r="719" spans="1:41" ht="14.25" customHeight="1" x14ac:dyDescent="0.25">
      <c r="A719" s="3"/>
      <c r="B719" s="40"/>
      <c r="C719" s="42"/>
      <c r="E719" s="3"/>
      <c r="L719" s="34"/>
      <c r="M719" s="34"/>
      <c r="O719" s="18"/>
      <c r="P719" s="18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N719" s="3"/>
      <c r="AO719" s="3"/>
    </row>
    <row r="720" spans="1:41" ht="14.25" customHeight="1" x14ac:dyDescent="0.25">
      <c r="A720" s="3"/>
      <c r="B720" s="40"/>
      <c r="C720" s="42"/>
      <c r="E720" s="3"/>
      <c r="L720" s="34"/>
      <c r="M720" s="34"/>
      <c r="O720" s="18"/>
      <c r="P720" s="18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N720" s="3"/>
      <c r="AO720" s="3"/>
    </row>
    <row r="721" spans="1:41" ht="14.25" customHeight="1" x14ac:dyDescent="0.25">
      <c r="A721" s="3"/>
      <c r="B721" s="40"/>
      <c r="C721" s="42"/>
      <c r="E721" s="3"/>
      <c r="L721" s="34"/>
      <c r="M721" s="34"/>
      <c r="O721" s="18"/>
      <c r="P721" s="18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N721" s="3"/>
      <c r="AO721" s="3"/>
    </row>
    <row r="722" spans="1:41" ht="14.25" customHeight="1" x14ac:dyDescent="0.25">
      <c r="A722" s="3"/>
      <c r="B722" s="40"/>
      <c r="C722" s="42"/>
      <c r="E722" s="3"/>
      <c r="L722" s="34"/>
      <c r="M722" s="34"/>
      <c r="O722" s="18"/>
      <c r="P722" s="18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N722" s="3"/>
      <c r="AO722" s="3"/>
    </row>
    <row r="723" spans="1:41" ht="14.25" customHeight="1" x14ac:dyDescent="0.25">
      <c r="A723" s="3"/>
      <c r="B723" s="40"/>
      <c r="C723" s="42"/>
      <c r="E723" s="3"/>
      <c r="L723" s="34"/>
      <c r="M723" s="34"/>
      <c r="O723" s="18"/>
      <c r="P723" s="18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N723" s="3"/>
      <c r="AO723" s="3"/>
    </row>
    <row r="724" spans="1:41" ht="14.25" customHeight="1" x14ac:dyDescent="0.25">
      <c r="A724" s="3"/>
      <c r="B724" s="40"/>
      <c r="C724" s="42"/>
      <c r="E724" s="3"/>
      <c r="L724" s="34"/>
      <c r="M724" s="34"/>
      <c r="O724" s="18"/>
      <c r="P724" s="18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N724" s="3"/>
      <c r="AO724" s="3"/>
    </row>
    <row r="725" spans="1:41" ht="14.25" customHeight="1" x14ac:dyDescent="0.25">
      <c r="A725" s="3"/>
      <c r="B725" s="40"/>
      <c r="C725" s="42"/>
      <c r="E725" s="3"/>
      <c r="L725" s="34"/>
      <c r="M725" s="34"/>
      <c r="O725" s="18"/>
      <c r="P725" s="18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N725" s="3"/>
      <c r="AO725" s="3"/>
    </row>
    <row r="726" spans="1:41" ht="14.25" customHeight="1" x14ac:dyDescent="0.25">
      <c r="A726" s="3"/>
      <c r="B726" s="40"/>
      <c r="C726" s="42"/>
      <c r="E726" s="3"/>
      <c r="L726" s="34"/>
      <c r="M726" s="34"/>
      <c r="O726" s="18"/>
      <c r="P726" s="18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N726" s="3"/>
      <c r="AO726" s="3"/>
    </row>
    <row r="727" spans="1:41" ht="14.25" customHeight="1" x14ac:dyDescent="0.25">
      <c r="A727" s="3"/>
      <c r="B727" s="40"/>
      <c r="C727" s="42"/>
      <c r="E727" s="3"/>
      <c r="L727" s="34"/>
      <c r="M727" s="34"/>
      <c r="O727" s="18"/>
      <c r="P727" s="18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N727" s="3"/>
      <c r="AO727" s="3"/>
    </row>
    <row r="728" spans="1:41" ht="14.25" customHeight="1" x14ac:dyDescent="0.25">
      <c r="A728" s="3"/>
      <c r="B728" s="40"/>
      <c r="C728" s="42"/>
      <c r="E728" s="3"/>
      <c r="L728" s="34"/>
      <c r="M728" s="34"/>
      <c r="O728" s="18"/>
      <c r="P728" s="18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N728" s="3"/>
      <c r="AO728" s="3"/>
    </row>
    <row r="729" spans="1:41" ht="14.25" customHeight="1" x14ac:dyDescent="0.25">
      <c r="A729" s="3"/>
      <c r="B729" s="40"/>
      <c r="C729" s="42"/>
      <c r="E729" s="3"/>
      <c r="L729" s="34"/>
      <c r="M729" s="34"/>
      <c r="O729" s="18"/>
      <c r="P729" s="18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N729" s="3"/>
      <c r="AO729" s="3"/>
    </row>
    <row r="730" spans="1:41" ht="14.25" customHeight="1" x14ac:dyDescent="0.25">
      <c r="A730" s="3"/>
      <c r="B730" s="40"/>
      <c r="C730" s="42"/>
      <c r="E730" s="3"/>
      <c r="L730" s="34"/>
      <c r="M730" s="34"/>
      <c r="O730" s="18"/>
      <c r="P730" s="18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N730" s="3"/>
      <c r="AO730" s="3"/>
    </row>
    <row r="731" spans="1:41" ht="14.25" customHeight="1" x14ac:dyDescent="0.25">
      <c r="A731" s="3"/>
      <c r="B731" s="40"/>
      <c r="C731" s="42"/>
      <c r="E731" s="3"/>
      <c r="L731" s="34"/>
      <c r="M731" s="34"/>
      <c r="O731" s="18"/>
      <c r="P731" s="18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N731" s="3"/>
      <c r="AO731" s="3"/>
    </row>
    <row r="732" spans="1:41" ht="14.25" customHeight="1" x14ac:dyDescent="0.25">
      <c r="A732" s="3"/>
      <c r="B732" s="40"/>
      <c r="C732" s="42"/>
      <c r="E732" s="3"/>
      <c r="L732" s="34"/>
      <c r="M732" s="34"/>
      <c r="O732" s="18"/>
      <c r="P732" s="18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N732" s="3"/>
      <c r="AO732" s="3"/>
    </row>
    <row r="733" spans="1:41" ht="14.25" customHeight="1" x14ac:dyDescent="0.25">
      <c r="A733" s="3"/>
      <c r="B733" s="40"/>
      <c r="C733" s="42"/>
      <c r="E733" s="3"/>
      <c r="L733" s="34"/>
      <c r="M733" s="34"/>
      <c r="O733" s="18"/>
      <c r="P733" s="18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N733" s="3"/>
      <c r="AO733" s="3"/>
    </row>
    <row r="734" spans="1:41" ht="14.25" customHeight="1" x14ac:dyDescent="0.25">
      <c r="A734" s="3"/>
      <c r="B734" s="40"/>
      <c r="C734" s="42"/>
      <c r="E734" s="3"/>
      <c r="L734" s="34"/>
      <c r="M734" s="34"/>
      <c r="O734" s="18"/>
      <c r="P734" s="18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N734" s="3"/>
      <c r="AO734" s="3"/>
    </row>
    <row r="735" spans="1:41" ht="14.25" customHeight="1" x14ac:dyDescent="0.25">
      <c r="A735" s="3"/>
      <c r="B735" s="40"/>
      <c r="C735" s="42"/>
      <c r="E735" s="3"/>
      <c r="L735" s="34"/>
      <c r="M735" s="34"/>
      <c r="O735" s="18"/>
      <c r="P735" s="18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N735" s="3"/>
      <c r="AO735" s="3"/>
    </row>
    <row r="736" spans="1:41" ht="14.25" customHeight="1" x14ac:dyDescent="0.25">
      <c r="A736" s="3"/>
      <c r="B736" s="40"/>
      <c r="C736" s="42"/>
      <c r="E736" s="3"/>
      <c r="L736" s="34"/>
      <c r="M736" s="34"/>
      <c r="O736" s="18"/>
      <c r="P736" s="18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N736" s="3"/>
      <c r="AO736" s="3"/>
    </row>
    <row r="737" spans="1:41" ht="14.25" customHeight="1" x14ac:dyDescent="0.25">
      <c r="A737" s="3"/>
      <c r="B737" s="40"/>
      <c r="C737" s="42"/>
      <c r="E737" s="3"/>
      <c r="L737" s="34"/>
      <c r="M737" s="34"/>
      <c r="O737" s="18"/>
      <c r="P737" s="18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N737" s="3"/>
      <c r="AO737" s="3"/>
    </row>
    <row r="738" spans="1:41" ht="14.25" customHeight="1" x14ac:dyDescent="0.25">
      <c r="A738" s="3"/>
      <c r="B738" s="40"/>
      <c r="C738" s="42"/>
      <c r="E738" s="3"/>
      <c r="L738" s="34"/>
      <c r="M738" s="34"/>
      <c r="O738" s="18"/>
      <c r="P738" s="18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N738" s="3"/>
      <c r="AO738" s="3"/>
    </row>
    <row r="739" spans="1:41" ht="14.25" customHeight="1" x14ac:dyDescent="0.25">
      <c r="A739" s="3"/>
      <c r="B739" s="40"/>
      <c r="C739" s="42"/>
      <c r="E739" s="3"/>
      <c r="L739" s="34"/>
      <c r="M739" s="34"/>
      <c r="O739" s="18"/>
      <c r="P739" s="18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N739" s="3"/>
      <c r="AO739" s="3"/>
    </row>
    <row r="740" spans="1:41" ht="14.25" customHeight="1" x14ac:dyDescent="0.25">
      <c r="A740" s="3"/>
      <c r="B740" s="40"/>
      <c r="C740" s="42"/>
      <c r="E740" s="3"/>
      <c r="L740" s="34"/>
      <c r="M740" s="34"/>
      <c r="O740" s="18"/>
      <c r="P740" s="18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N740" s="3"/>
      <c r="AO740" s="3"/>
    </row>
    <row r="741" spans="1:41" ht="14.25" customHeight="1" x14ac:dyDescent="0.25">
      <c r="A741" s="3"/>
      <c r="B741" s="40"/>
      <c r="C741" s="42"/>
      <c r="E741" s="3"/>
      <c r="L741" s="34"/>
      <c r="M741" s="34"/>
      <c r="O741" s="18"/>
      <c r="P741" s="18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N741" s="3"/>
      <c r="AO741" s="3"/>
    </row>
    <row r="742" spans="1:41" ht="14.25" customHeight="1" x14ac:dyDescent="0.25">
      <c r="A742" s="3"/>
      <c r="B742" s="40"/>
      <c r="C742" s="42"/>
      <c r="E742" s="3"/>
      <c r="L742" s="34"/>
      <c r="M742" s="34"/>
      <c r="O742" s="18"/>
      <c r="P742" s="18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N742" s="3"/>
      <c r="AO742" s="3"/>
    </row>
    <row r="743" spans="1:41" ht="14.25" customHeight="1" x14ac:dyDescent="0.25">
      <c r="A743" s="3"/>
      <c r="B743" s="40"/>
      <c r="C743" s="42"/>
      <c r="E743" s="3"/>
      <c r="L743" s="34"/>
      <c r="M743" s="34"/>
      <c r="O743" s="18"/>
      <c r="P743" s="18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N743" s="3"/>
      <c r="AO743" s="3"/>
    </row>
    <row r="744" spans="1:41" ht="14.25" customHeight="1" x14ac:dyDescent="0.25">
      <c r="A744" s="3"/>
      <c r="B744" s="40"/>
      <c r="C744" s="42"/>
      <c r="E744" s="3"/>
      <c r="L744" s="34"/>
      <c r="M744" s="34"/>
      <c r="O744" s="18"/>
      <c r="P744" s="18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N744" s="3"/>
      <c r="AO744" s="3"/>
    </row>
    <row r="745" spans="1:41" ht="14.25" customHeight="1" x14ac:dyDescent="0.25">
      <c r="A745" s="3"/>
      <c r="B745" s="40"/>
      <c r="C745" s="42"/>
      <c r="E745" s="3"/>
      <c r="L745" s="34"/>
      <c r="M745" s="34"/>
      <c r="O745" s="18"/>
      <c r="P745" s="18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N745" s="3"/>
      <c r="AO745" s="3"/>
    </row>
    <row r="746" spans="1:41" ht="14.25" customHeight="1" x14ac:dyDescent="0.25">
      <c r="A746" s="3"/>
      <c r="B746" s="40"/>
      <c r="C746" s="42"/>
      <c r="E746" s="3"/>
      <c r="L746" s="34"/>
      <c r="M746" s="34"/>
      <c r="O746" s="18"/>
      <c r="P746" s="18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N746" s="3"/>
      <c r="AO746" s="3"/>
    </row>
    <row r="747" spans="1:41" ht="14.25" customHeight="1" x14ac:dyDescent="0.25">
      <c r="A747" s="3"/>
      <c r="B747" s="40"/>
      <c r="C747" s="42"/>
      <c r="E747" s="3"/>
      <c r="L747" s="34"/>
      <c r="M747" s="34"/>
      <c r="O747" s="18"/>
      <c r="P747" s="18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N747" s="3"/>
      <c r="AO747" s="3"/>
    </row>
    <row r="748" spans="1:41" ht="14.25" customHeight="1" x14ac:dyDescent="0.25">
      <c r="A748" s="3"/>
      <c r="B748" s="40"/>
      <c r="C748" s="42"/>
      <c r="E748" s="3"/>
      <c r="L748" s="34"/>
      <c r="M748" s="34"/>
      <c r="O748" s="18"/>
      <c r="P748" s="18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N748" s="3"/>
      <c r="AO748" s="3"/>
    </row>
    <row r="749" spans="1:41" ht="14.25" customHeight="1" x14ac:dyDescent="0.25">
      <c r="A749" s="3"/>
      <c r="B749" s="40"/>
      <c r="C749" s="42"/>
      <c r="E749" s="3"/>
      <c r="L749" s="34"/>
      <c r="M749" s="34"/>
      <c r="O749" s="18"/>
      <c r="P749" s="18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N749" s="3"/>
      <c r="AO749" s="3"/>
    </row>
    <row r="750" spans="1:41" ht="14.25" customHeight="1" x14ac:dyDescent="0.25">
      <c r="A750" s="3"/>
      <c r="B750" s="40"/>
      <c r="C750" s="42"/>
      <c r="E750" s="3"/>
      <c r="L750" s="34"/>
      <c r="M750" s="34"/>
      <c r="O750" s="18"/>
      <c r="P750" s="18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N750" s="3"/>
      <c r="AO750" s="3"/>
    </row>
    <row r="751" spans="1:41" ht="14.25" customHeight="1" x14ac:dyDescent="0.25">
      <c r="A751" s="3"/>
      <c r="B751" s="40"/>
      <c r="C751" s="42"/>
      <c r="E751" s="3"/>
      <c r="L751" s="34"/>
      <c r="M751" s="34"/>
      <c r="O751" s="18"/>
      <c r="P751" s="18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N751" s="3"/>
      <c r="AO751" s="3"/>
    </row>
    <row r="752" spans="1:41" ht="14.25" customHeight="1" x14ac:dyDescent="0.25">
      <c r="A752" s="3"/>
      <c r="B752" s="40"/>
      <c r="C752" s="42"/>
      <c r="E752" s="3"/>
      <c r="L752" s="34"/>
      <c r="M752" s="34"/>
      <c r="O752" s="18"/>
      <c r="P752" s="18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N752" s="3"/>
      <c r="AO752" s="3"/>
    </row>
    <row r="753" spans="1:41" ht="14.25" customHeight="1" x14ac:dyDescent="0.25">
      <c r="A753" s="3"/>
      <c r="B753" s="40"/>
      <c r="C753" s="42"/>
      <c r="E753" s="3"/>
      <c r="L753" s="34"/>
      <c r="M753" s="34"/>
      <c r="O753" s="18"/>
      <c r="P753" s="18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N753" s="3"/>
      <c r="AO753" s="3"/>
    </row>
    <row r="754" spans="1:41" ht="14.25" customHeight="1" x14ac:dyDescent="0.25">
      <c r="A754" s="3"/>
      <c r="B754" s="40"/>
      <c r="C754" s="42"/>
      <c r="E754" s="3"/>
      <c r="L754" s="34"/>
      <c r="M754" s="34"/>
      <c r="O754" s="18"/>
      <c r="P754" s="18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N754" s="3"/>
      <c r="AO754" s="3"/>
    </row>
    <row r="755" spans="1:41" ht="14.25" customHeight="1" x14ac:dyDescent="0.25">
      <c r="A755" s="3"/>
      <c r="B755" s="40"/>
      <c r="C755" s="42"/>
      <c r="E755" s="3"/>
      <c r="L755" s="34"/>
      <c r="M755" s="34"/>
      <c r="O755" s="18"/>
      <c r="P755" s="18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N755" s="3"/>
      <c r="AO755" s="3"/>
    </row>
    <row r="756" spans="1:41" ht="14.25" customHeight="1" x14ac:dyDescent="0.25">
      <c r="A756" s="3"/>
      <c r="B756" s="40"/>
      <c r="C756" s="42"/>
      <c r="E756" s="3"/>
      <c r="L756" s="34"/>
      <c r="M756" s="34"/>
      <c r="O756" s="18"/>
      <c r="P756" s="18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N756" s="3"/>
      <c r="AO756" s="3"/>
    </row>
    <row r="757" spans="1:41" ht="14.25" customHeight="1" x14ac:dyDescent="0.25">
      <c r="A757" s="3"/>
      <c r="B757" s="40"/>
      <c r="C757" s="42"/>
      <c r="E757" s="3"/>
      <c r="L757" s="34"/>
      <c r="M757" s="34"/>
      <c r="O757" s="18"/>
      <c r="P757" s="18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N757" s="3"/>
      <c r="AO757" s="3"/>
    </row>
    <row r="758" spans="1:41" ht="14.25" customHeight="1" x14ac:dyDescent="0.25">
      <c r="A758" s="3"/>
      <c r="B758" s="40"/>
      <c r="C758" s="42"/>
      <c r="E758" s="3"/>
      <c r="L758" s="34"/>
      <c r="M758" s="34"/>
      <c r="O758" s="18"/>
      <c r="P758" s="18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N758" s="3"/>
      <c r="AO758" s="3"/>
    </row>
    <row r="759" spans="1:41" ht="14.25" customHeight="1" x14ac:dyDescent="0.25">
      <c r="A759" s="3"/>
      <c r="B759" s="40"/>
      <c r="C759" s="42"/>
      <c r="E759" s="3"/>
      <c r="L759" s="34"/>
      <c r="M759" s="34"/>
      <c r="O759" s="18"/>
      <c r="P759" s="18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N759" s="3"/>
      <c r="AO759" s="3"/>
    </row>
    <row r="760" spans="1:41" ht="14.25" customHeight="1" x14ac:dyDescent="0.25">
      <c r="A760" s="3"/>
      <c r="B760" s="40"/>
      <c r="C760" s="42"/>
      <c r="E760" s="3"/>
      <c r="L760" s="34"/>
      <c r="M760" s="34"/>
      <c r="O760" s="18"/>
      <c r="P760" s="18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N760" s="3"/>
      <c r="AO760" s="3"/>
    </row>
    <row r="761" spans="1:41" ht="14.25" customHeight="1" x14ac:dyDescent="0.25">
      <c r="A761" s="3"/>
      <c r="B761" s="40"/>
      <c r="C761" s="42"/>
      <c r="E761" s="3"/>
      <c r="L761" s="34"/>
      <c r="M761" s="34"/>
      <c r="O761" s="18"/>
      <c r="P761" s="18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N761" s="3"/>
      <c r="AO761" s="3"/>
    </row>
    <row r="762" spans="1:41" ht="14.25" customHeight="1" x14ac:dyDescent="0.25">
      <c r="A762" s="3"/>
      <c r="B762" s="40"/>
      <c r="C762" s="42"/>
      <c r="E762" s="3"/>
      <c r="L762" s="34"/>
      <c r="M762" s="34"/>
      <c r="O762" s="18"/>
      <c r="P762" s="18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N762" s="3"/>
      <c r="AO762" s="3"/>
    </row>
    <row r="763" spans="1:41" ht="14.25" customHeight="1" x14ac:dyDescent="0.25">
      <c r="A763" s="3"/>
      <c r="B763" s="40"/>
      <c r="C763" s="42"/>
      <c r="E763" s="3"/>
      <c r="L763" s="34"/>
      <c r="M763" s="34"/>
      <c r="O763" s="18"/>
      <c r="P763" s="18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N763" s="3"/>
      <c r="AO763" s="3"/>
    </row>
    <row r="764" spans="1:41" ht="14.25" customHeight="1" x14ac:dyDescent="0.25">
      <c r="A764" s="3"/>
      <c r="B764" s="40"/>
      <c r="C764" s="42"/>
      <c r="E764" s="3"/>
      <c r="L764" s="34"/>
      <c r="M764" s="34"/>
      <c r="O764" s="18"/>
      <c r="P764" s="18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N764" s="3"/>
      <c r="AO764" s="3"/>
    </row>
    <row r="765" spans="1:41" ht="14.25" customHeight="1" x14ac:dyDescent="0.25">
      <c r="A765" s="3"/>
      <c r="B765" s="40"/>
      <c r="C765" s="42"/>
      <c r="E765" s="3"/>
      <c r="L765" s="34"/>
      <c r="M765" s="34"/>
      <c r="O765" s="18"/>
      <c r="P765" s="18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N765" s="3"/>
      <c r="AO765" s="3"/>
    </row>
    <row r="766" spans="1:41" ht="14.25" customHeight="1" x14ac:dyDescent="0.25">
      <c r="A766" s="3"/>
      <c r="B766" s="40"/>
      <c r="C766" s="42"/>
      <c r="E766" s="3"/>
      <c r="L766" s="34"/>
      <c r="M766" s="34"/>
      <c r="O766" s="18"/>
      <c r="P766" s="18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N766" s="3"/>
      <c r="AO766" s="3"/>
    </row>
    <row r="767" spans="1:41" ht="14.25" customHeight="1" x14ac:dyDescent="0.25">
      <c r="A767" s="3"/>
      <c r="B767" s="40"/>
      <c r="C767" s="42"/>
      <c r="E767" s="3"/>
      <c r="L767" s="34"/>
      <c r="M767" s="34"/>
      <c r="O767" s="18"/>
      <c r="P767" s="18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N767" s="3"/>
      <c r="AO767" s="3"/>
    </row>
    <row r="768" spans="1:41" ht="14.25" customHeight="1" x14ac:dyDescent="0.25">
      <c r="A768" s="3"/>
      <c r="B768" s="40"/>
      <c r="C768" s="42"/>
      <c r="E768" s="3"/>
      <c r="L768" s="34"/>
      <c r="M768" s="34"/>
      <c r="O768" s="18"/>
      <c r="P768" s="18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N768" s="3"/>
      <c r="AO768" s="3"/>
    </row>
    <row r="769" spans="1:41" ht="14.25" customHeight="1" x14ac:dyDescent="0.25">
      <c r="A769" s="3"/>
      <c r="B769" s="40"/>
      <c r="C769" s="42"/>
      <c r="E769" s="3"/>
      <c r="L769" s="34"/>
      <c r="M769" s="34"/>
      <c r="O769" s="18"/>
      <c r="P769" s="18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N769" s="3"/>
      <c r="AO769" s="3"/>
    </row>
    <row r="770" spans="1:41" ht="14.25" customHeight="1" x14ac:dyDescent="0.25">
      <c r="A770" s="3"/>
      <c r="B770" s="40"/>
      <c r="C770" s="42"/>
      <c r="E770" s="3"/>
      <c r="L770" s="34"/>
      <c r="M770" s="34"/>
      <c r="O770" s="18"/>
      <c r="P770" s="18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N770" s="3"/>
      <c r="AO770" s="3"/>
    </row>
    <row r="771" spans="1:41" ht="14.25" customHeight="1" x14ac:dyDescent="0.25">
      <c r="A771" s="3"/>
      <c r="B771" s="40"/>
      <c r="C771" s="42"/>
      <c r="E771" s="3"/>
      <c r="L771" s="34"/>
      <c r="M771" s="34"/>
      <c r="O771" s="18"/>
      <c r="P771" s="18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N771" s="3"/>
      <c r="AO771" s="3"/>
    </row>
    <row r="772" spans="1:41" ht="14.25" customHeight="1" x14ac:dyDescent="0.25">
      <c r="A772" s="3"/>
      <c r="B772" s="40"/>
      <c r="C772" s="42"/>
      <c r="E772" s="3"/>
      <c r="L772" s="34"/>
      <c r="M772" s="34"/>
      <c r="O772" s="18"/>
      <c r="P772" s="18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N772" s="3"/>
      <c r="AO772" s="3"/>
    </row>
    <row r="773" spans="1:41" ht="14.25" customHeight="1" x14ac:dyDescent="0.25">
      <c r="A773" s="3"/>
      <c r="B773" s="40"/>
      <c r="C773" s="42"/>
      <c r="E773" s="3"/>
      <c r="L773" s="34"/>
      <c r="M773" s="34"/>
      <c r="O773" s="18"/>
      <c r="P773" s="18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N773" s="3"/>
      <c r="AO773" s="3"/>
    </row>
    <row r="774" spans="1:41" ht="14.25" customHeight="1" x14ac:dyDescent="0.25">
      <c r="A774" s="3"/>
      <c r="B774" s="40"/>
      <c r="C774" s="42"/>
      <c r="E774" s="3"/>
      <c r="L774" s="34"/>
      <c r="M774" s="34"/>
      <c r="O774" s="18"/>
      <c r="P774" s="18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N774" s="3"/>
      <c r="AO774" s="3"/>
    </row>
    <row r="775" spans="1:41" ht="14.25" customHeight="1" x14ac:dyDescent="0.25">
      <c r="A775" s="3"/>
      <c r="B775" s="40"/>
      <c r="C775" s="42"/>
      <c r="E775" s="3"/>
      <c r="L775" s="34"/>
      <c r="M775" s="34"/>
      <c r="O775" s="18"/>
      <c r="P775" s="18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N775" s="3"/>
      <c r="AO775" s="3"/>
    </row>
    <row r="776" spans="1:41" ht="14.25" customHeight="1" x14ac:dyDescent="0.25">
      <c r="A776" s="3"/>
      <c r="B776" s="40"/>
      <c r="C776" s="42"/>
      <c r="E776" s="3"/>
      <c r="L776" s="34"/>
      <c r="M776" s="34"/>
      <c r="O776" s="18"/>
      <c r="P776" s="18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N776" s="3"/>
      <c r="AO776" s="3"/>
    </row>
    <row r="777" spans="1:41" ht="14.25" customHeight="1" x14ac:dyDescent="0.25">
      <c r="A777" s="3"/>
      <c r="B777" s="40"/>
      <c r="C777" s="42"/>
      <c r="E777" s="3"/>
      <c r="L777" s="34"/>
      <c r="M777" s="34"/>
      <c r="O777" s="18"/>
      <c r="P777" s="18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N777" s="3"/>
      <c r="AO777" s="3"/>
    </row>
    <row r="778" spans="1:41" ht="14.25" customHeight="1" x14ac:dyDescent="0.25">
      <c r="A778" s="3"/>
      <c r="B778" s="40"/>
      <c r="C778" s="42"/>
      <c r="E778" s="3"/>
      <c r="L778" s="34"/>
      <c r="M778" s="34"/>
      <c r="O778" s="18"/>
      <c r="P778" s="18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N778" s="3"/>
      <c r="AO778" s="3"/>
    </row>
    <row r="779" spans="1:41" ht="14.25" customHeight="1" x14ac:dyDescent="0.25">
      <c r="A779" s="3"/>
      <c r="B779" s="40"/>
      <c r="C779" s="42"/>
      <c r="E779" s="3"/>
      <c r="L779" s="34"/>
      <c r="M779" s="34"/>
      <c r="O779" s="18"/>
      <c r="P779" s="18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N779" s="3"/>
      <c r="AO779" s="3"/>
    </row>
    <row r="780" spans="1:41" ht="14.25" customHeight="1" x14ac:dyDescent="0.25">
      <c r="A780" s="3"/>
      <c r="B780" s="40"/>
      <c r="C780" s="42"/>
      <c r="E780" s="3"/>
      <c r="L780" s="34"/>
      <c r="M780" s="34"/>
      <c r="O780" s="18"/>
      <c r="P780" s="18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N780" s="3"/>
      <c r="AO780" s="3"/>
    </row>
    <row r="781" spans="1:41" ht="14.25" customHeight="1" x14ac:dyDescent="0.25">
      <c r="A781" s="3"/>
      <c r="B781" s="40"/>
      <c r="C781" s="42"/>
      <c r="E781" s="3"/>
      <c r="L781" s="34"/>
      <c r="M781" s="34"/>
      <c r="O781" s="18"/>
      <c r="P781" s="18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N781" s="3"/>
      <c r="AO781" s="3"/>
    </row>
    <row r="782" spans="1:41" ht="14.25" customHeight="1" x14ac:dyDescent="0.25">
      <c r="A782" s="3"/>
      <c r="B782" s="40"/>
      <c r="C782" s="42"/>
      <c r="E782" s="3"/>
      <c r="L782" s="34"/>
      <c r="M782" s="34"/>
      <c r="O782" s="18"/>
      <c r="P782" s="18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N782" s="3"/>
      <c r="AO782" s="3"/>
    </row>
    <row r="783" spans="1:41" ht="14.25" customHeight="1" x14ac:dyDescent="0.25">
      <c r="A783" s="3"/>
      <c r="B783" s="40"/>
      <c r="C783" s="42"/>
      <c r="E783" s="3"/>
      <c r="L783" s="34"/>
      <c r="M783" s="34"/>
      <c r="O783" s="18"/>
      <c r="P783" s="18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N783" s="3"/>
      <c r="AO783" s="3"/>
    </row>
    <row r="784" spans="1:41" ht="14.25" customHeight="1" x14ac:dyDescent="0.25">
      <c r="A784" s="3"/>
      <c r="B784" s="40"/>
      <c r="C784" s="42"/>
      <c r="E784" s="3"/>
      <c r="L784" s="34"/>
      <c r="M784" s="34"/>
      <c r="O784" s="18"/>
      <c r="P784" s="18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N784" s="3"/>
      <c r="AO784" s="3"/>
    </row>
    <row r="785" spans="1:41" ht="14.25" customHeight="1" x14ac:dyDescent="0.25">
      <c r="A785" s="3"/>
      <c r="B785" s="40"/>
      <c r="C785" s="42"/>
      <c r="E785" s="3"/>
      <c r="L785" s="34"/>
      <c r="M785" s="34"/>
      <c r="O785" s="18"/>
      <c r="P785" s="18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N785" s="3"/>
      <c r="AO785" s="3"/>
    </row>
    <row r="786" spans="1:41" ht="14.25" customHeight="1" x14ac:dyDescent="0.25">
      <c r="A786" s="3"/>
      <c r="B786" s="40"/>
      <c r="C786" s="42"/>
      <c r="E786" s="3"/>
      <c r="L786" s="34"/>
      <c r="M786" s="34"/>
      <c r="O786" s="18"/>
      <c r="P786" s="18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N786" s="3"/>
      <c r="AO786" s="3"/>
    </row>
    <row r="787" spans="1:41" ht="14.25" customHeight="1" x14ac:dyDescent="0.25">
      <c r="A787" s="3"/>
      <c r="B787" s="40"/>
      <c r="C787" s="42"/>
      <c r="E787" s="3"/>
      <c r="L787" s="34"/>
      <c r="M787" s="34"/>
      <c r="O787" s="18"/>
      <c r="P787" s="18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N787" s="3"/>
      <c r="AO787" s="3"/>
    </row>
    <row r="788" spans="1:41" ht="14.25" customHeight="1" x14ac:dyDescent="0.25">
      <c r="A788" s="3"/>
      <c r="B788" s="40"/>
      <c r="C788" s="42"/>
      <c r="E788" s="3"/>
      <c r="L788" s="34"/>
      <c r="M788" s="34"/>
      <c r="O788" s="18"/>
      <c r="P788" s="18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N788" s="3"/>
      <c r="AO788" s="3"/>
    </row>
    <row r="789" spans="1:41" ht="14.25" customHeight="1" x14ac:dyDescent="0.25">
      <c r="A789" s="3"/>
      <c r="B789" s="40"/>
      <c r="C789" s="42"/>
      <c r="E789" s="3"/>
      <c r="L789" s="34"/>
      <c r="M789" s="34"/>
      <c r="O789" s="18"/>
      <c r="P789" s="18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N789" s="3"/>
      <c r="AO789" s="3"/>
    </row>
    <row r="790" spans="1:41" ht="14.25" customHeight="1" x14ac:dyDescent="0.25">
      <c r="A790" s="3"/>
      <c r="B790" s="40"/>
      <c r="C790" s="42"/>
      <c r="E790" s="3"/>
      <c r="L790" s="34"/>
      <c r="M790" s="34"/>
      <c r="O790" s="18"/>
      <c r="P790" s="18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N790" s="3"/>
      <c r="AO790" s="3"/>
    </row>
    <row r="791" spans="1:41" ht="14.25" customHeight="1" x14ac:dyDescent="0.25">
      <c r="A791" s="3"/>
      <c r="B791" s="40"/>
      <c r="C791" s="42"/>
      <c r="E791" s="3"/>
      <c r="L791" s="34"/>
      <c r="M791" s="34"/>
      <c r="O791" s="18"/>
      <c r="P791" s="18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N791" s="3"/>
      <c r="AO791" s="3"/>
    </row>
    <row r="792" spans="1:41" ht="14.25" customHeight="1" x14ac:dyDescent="0.25">
      <c r="A792" s="3"/>
      <c r="B792" s="40"/>
      <c r="C792" s="42"/>
      <c r="E792" s="3"/>
      <c r="L792" s="34"/>
      <c r="M792" s="34"/>
      <c r="O792" s="18"/>
      <c r="P792" s="18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N792" s="3"/>
      <c r="AO792" s="3"/>
    </row>
    <row r="793" spans="1:41" ht="14.25" customHeight="1" x14ac:dyDescent="0.25">
      <c r="A793" s="3"/>
      <c r="B793" s="40"/>
      <c r="C793" s="42"/>
      <c r="E793" s="3"/>
      <c r="L793" s="34"/>
      <c r="M793" s="34"/>
      <c r="O793" s="18"/>
      <c r="P793" s="18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N793" s="3"/>
      <c r="AO793" s="3"/>
    </row>
    <row r="794" spans="1:41" ht="14.25" customHeight="1" x14ac:dyDescent="0.25">
      <c r="A794" s="3"/>
      <c r="B794" s="40"/>
      <c r="C794" s="42"/>
      <c r="E794" s="3"/>
      <c r="L794" s="34"/>
      <c r="M794" s="34"/>
      <c r="O794" s="18"/>
      <c r="P794" s="18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N794" s="3"/>
      <c r="AO794" s="3"/>
    </row>
    <row r="795" spans="1:41" ht="14.25" customHeight="1" x14ac:dyDescent="0.25">
      <c r="A795" s="3"/>
      <c r="B795" s="40"/>
      <c r="C795" s="42"/>
      <c r="E795" s="3"/>
      <c r="L795" s="34"/>
      <c r="M795" s="34"/>
      <c r="O795" s="18"/>
      <c r="P795" s="18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N795" s="3"/>
      <c r="AO795" s="3"/>
    </row>
    <row r="796" spans="1:41" ht="14.25" customHeight="1" x14ac:dyDescent="0.25">
      <c r="A796" s="3"/>
      <c r="B796" s="40"/>
      <c r="C796" s="42"/>
      <c r="E796" s="3"/>
      <c r="L796" s="34"/>
      <c r="M796" s="34"/>
      <c r="O796" s="18"/>
      <c r="P796" s="18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N796" s="3"/>
      <c r="AO796" s="3"/>
    </row>
    <row r="797" spans="1:41" ht="14.25" customHeight="1" x14ac:dyDescent="0.25">
      <c r="A797" s="3"/>
      <c r="B797" s="40"/>
      <c r="C797" s="42"/>
      <c r="E797" s="3"/>
      <c r="L797" s="34"/>
      <c r="M797" s="34"/>
      <c r="O797" s="18"/>
      <c r="P797" s="18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N797" s="3"/>
      <c r="AO797" s="3"/>
    </row>
    <row r="798" spans="1:41" ht="14.25" customHeight="1" x14ac:dyDescent="0.25">
      <c r="A798" s="3"/>
      <c r="B798" s="40"/>
      <c r="C798" s="42"/>
      <c r="E798" s="3"/>
      <c r="L798" s="34"/>
      <c r="M798" s="34"/>
      <c r="O798" s="18"/>
      <c r="P798" s="18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N798" s="3"/>
      <c r="AO798" s="3"/>
    </row>
    <row r="799" spans="1:41" ht="14.25" customHeight="1" x14ac:dyDescent="0.25">
      <c r="A799" s="3"/>
      <c r="B799" s="40"/>
      <c r="C799" s="42"/>
      <c r="E799" s="3"/>
      <c r="L799" s="34"/>
      <c r="M799" s="34"/>
      <c r="O799" s="18"/>
      <c r="P799" s="18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N799" s="3"/>
      <c r="AO799" s="3"/>
    </row>
    <row r="800" spans="1:41" ht="14.25" customHeight="1" x14ac:dyDescent="0.25">
      <c r="A800" s="3"/>
      <c r="B800" s="40"/>
      <c r="C800" s="42"/>
      <c r="E800" s="3"/>
      <c r="L800" s="34"/>
      <c r="M800" s="34"/>
      <c r="O800" s="18"/>
      <c r="P800" s="18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N800" s="3"/>
      <c r="AO800" s="3"/>
    </row>
    <row r="801" spans="1:41" ht="14.25" customHeight="1" x14ac:dyDescent="0.25">
      <c r="A801" s="3"/>
      <c r="B801" s="40"/>
      <c r="C801" s="42"/>
      <c r="E801" s="3"/>
      <c r="L801" s="34"/>
      <c r="M801" s="34"/>
      <c r="O801" s="18"/>
      <c r="P801" s="18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N801" s="3"/>
      <c r="AO801" s="3"/>
    </row>
    <row r="802" spans="1:41" ht="14.25" customHeight="1" x14ac:dyDescent="0.25">
      <c r="A802" s="3"/>
      <c r="B802" s="40"/>
      <c r="C802" s="42"/>
      <c r="E802" s="3"/>
      <c r="L802" s="34"/>
      <c r="M802" s="34"/>
      <c r="O802" s="18"/>
      <c r="P802" s="18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N802" s="3"/>
      <c r="AO802" s="3"/>
    </row>
    <row r="803" spans="1:41" ht="14.25" customHeight="1" x14ac:dyDescent="0.25">
      <c r="A803" s="3"/>
      <c r="B803" s="40"/>
      <c r="C803" s="42"/>
      <c r="E803" s="3"/>
      <c r="L803" s="34"/>
      <c r="M803" s="34"/>
      <c r="O803" s="18"/>
      <c r="P803" s="18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N803" s="3"/>
      <c r="AO803" s="3"/>
    </row>
    <row r="804" spans="1:41" ht="14.25" customHeight="1" x14ac:dyDescent="0.25">
      <c r="A804" s="3"/>
      <c r="B804" s="40"/>
      <c r="C804" s="42"/>
      <c r="E804" s="3"/>
      <c r="L804" s="34"/>
      <c r="M804" s="34"/>
      <c r="O804" s="18"/>
      <c r="P804" s="18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N804" s="3"/>
      <c r="AO804" s="3"/>
    </row>
    <row r="805" spans="1:41" ht="14.25" customHeight="1" x14ac:dyDescent="0.25">
      <c r="A805" s="3"/>
      <c r="B805" s="40"/>
      <c r="C805" s="42"/>
      <c r="E805" s="3"/>
      <c r="L805" s="34"/>
      <c r="M805" s="34"/>
      <c r="O805" s="18"/>
      <c r="P805" s="18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N805" s="3"/>
      <c r="AO805" s="3"/>
    </row>
    <row r="806" spans="1:41" ht="14.25" customHeight="1" x14ac:dyDescent="0.25">
      <c r="A806" s="3"/>
      <c r="B806" s="40"/>
      <c r="C806" s="42"/>
      <c r="E806" s="3"/>
      <c r="L806" s="34"/>
      <c r="M806" s="34"/>
      <c r="O806" s="18"/>
      <c r="P806" s="18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N806" s="3"/>
      <c r="AO806" s="3"/>
    </row>
    <row r="807" spans="1:41" ht="14.25" customHeight="1" x14ac:dyDescent="0.25">
      <c r="A807" s="3"/>
      <c r="B807" s="40"/>
      <c r="C807" s="42"/>
      <c r="E807" s="3"/>
      <c r="L807" s="34"/>
      <c r="M807" s="34"/>
      <c r="O807" s="18"/>
      <c r="P807" s="18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N807" s="3"/>
      <c r="AO807" s="3"/>
    </row>
    <row r="808" spans="1:41" ht="14.25" customHeight="1" x14ac:dyDescent="0.25">
      <c r="A808" s="3"/>
      <c r="B808" s="40"/>
      <c r="C808" s="42"/>
      <c r="E808" s="3"/>
      <c r="L808" s="34"/>
      <c r="M808" s="34"/>
      <c r="O808" s="18"/>
      <c r="P808" s="18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N808" s="3"/>
      <c r="AO808" s="3"/>
    </row>
    <row r="809" spans="1:41" ht="14.25" customHeight="1" x14ac:dyDescent="0.25">
      <c r="A809" s="3"/>
      <c r="B809" s="40"/>
      <c r="C809" s="42"/>
      <c r="E809" s="3"/>
      <c r="L809" s="34"/>
      <c r="M809" s="34"/>
      <c r="O809" s="18"/>
      <c r="P809" s="18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N809" s="3"/>
      <c r="AO809" s="3"/>
    </row>
    <row r="810" spans="1:41" ht="14.25" customHeight="1" x14ac:dyDescent="0.25">
      <c r="A810" s="3"/>
      <c r="B810" s="40"/>
      <c r="C810" s="42"/>
      <c r="E810" s="3"/>
      <c r="L810" s="34"/>
      <c r="M810" s="34"/>
      <c r="O810" s="18"/>
      <c r="P810" s="18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N810" s="3"/>
      <c r="AO810" s="3"/>
    </row>
    <row r="811" spans="1:41" ht="14.25" customHeight="1" x14ac:dyDescent="0.25">
      <c r="A811" s="3"/>
      <c r="B811" s="40"/>
      <c r="C811" s="42"/>
      <c r="E811" s="3"/>
      <c r="L811" s="34"/>
      <c r="M811" s="34"/>
      <c r="O811" s="18"/>
      <c r="P811" s="18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N811" s="3"/>
      <c r="AO811" s="3"/>
    </row>
    <row r="812" spans="1:41" ht="14.25" customHeight="1" x14ac:dyDescent="0.25">
      <c r="A812" s="3"/>
      <c r="B812" s="40"/>
      <c r="C812" s="42"/>
      <c r="E812" s="3"/>
      <c r="L812" s="34"/>
      <c r="M812" s="34"/>
      <c r="O812" s="18"/>
      <c r="P812" s="18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N812" s="3"/>
      <c r="AO812" s="3"/>
    </row>
    <row r="813" spans="1:41" ht="14.25" customHeight="1" x14ac:dyDescent="0.25">
      <c r="A813" s="3"/>
      <c r="B813" s="40"/>
      <c r="C813" s="42"/>
      <c r="E813" s="3"/>
      <c r="L813" s="34"/>
      <c r="M813" s="34"/>
      <c r="O813" s="18"/>
      <c r="P813" s="18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N813" s="3"/>
      <c r="AO813" s="3"/>
    </row>
    <row r="814" spans="1:41" ht="14.25" customHeight="1" x14ac:dyDescent="0.25">
      <c r="A814" s="3"/>
      <c r="B814" s="40"/>
      <c r="C814" s="42"/>
      <c r="E814" s="3"/>
      <c r="L814" s="34"/>
      <c r="M814" s="34"/>
      <c r="O814" s="18"/>
      <c r="P814" s="18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N814" s="3"/>
      <c r="AO814" s="3"/>
    </row>
    <row r="815" spans="1:41" ht="14.25" customHeight="1" x14ac:dyDescent="0.25">
      <c r="A815" s="3"/>
      <c r="B815" s="40"/>
      <c r="C815" s="42"/>
      <c r="E815" s="3"/>
      <c r="L815" s="34"/>
      <c r="M815" s="34"/>
      <c r="O815" s="18"/>
      <c r="P815" s="18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N815" s="3"/>
      <c r="AO815" s="3"/>
    </row>
    <row r="816" spans="1:41" ht="14.25" customHeight="1" x14ac:dyDescent="0.25">
      <c r="A816" s="3"/>
      <c r="B816" s="40"/>
      <c r="C816" s="42"/>
      <c r="E816" s="3"/>
      <c r="L816" s="34"/>
      <c r="M816" s="34"/>
      <c r="O816" s="18"/>
      <c r="P816" s="18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N816" s="3"/>
      <c r="AO816" s="3"/>
    </row>
    <row r="817" spans="1:41" ht="14.25" customHeight="1" x14ac:dyDescent="0.25">
      <c r="A817" s="3"/>
      <c r="B817" s="40"/>
      <c r="C817" s="42"/>
      <c r="E817" s="3"/>
      <c r="L817" s="34"/>
      <c r="M817" s="34"/>
      <c r="O817" s="18"/>
      <c r="P817" s="18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N817" s="3"/>
      <c r="AO817" s="3"/>
    </row>
    <row r="818" spans="1:41" ht="14.25" customHeight="1" x14ac:dyDescent="0.25">
      <c r="A818" s="3"/>
      <c r="B818" s="40"/>
      <c r="C818" s="42"/>
      <c r="E818" s="3"/>
      <c r="L818" s="34"/>
      <c r="M818" s="34"/>
      <c r="O818" s="18"/>
      <c r="P818" s="18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N818" s="3"/>
      <c r="AO818" s="3"/>
    </row>
    <row r="819" spans="1:41" ht="14.25" customHeight="1" x14ac:dyDescent="0.25">
      <c r="A819" s="3"/>
      <c r="B819" s="40"/>
      <c r="C819" s="42"/>
      <c r="E819" s="3"/>
      <c r="L819" s="34"/>
      <c r="M819" s="34"/>
      <c r="O819" s="18"/>
      <c r="P819" s="18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N819" s="3"/>
      <c r="AO819" s="3"/>
    </row>
    <row r="820" spans="1:41" ht="14.25" customHeight="1" x14ac:dyDescent="0.25">
      <c r="A820" s="3"/>
      <c r="B820" s="40"/>
      <c r="C820" s="42"/>
      <c r="E820" s="3"/>
      <c r="L820" s="34"/>
      <c r="M820" s="34"/>
      <c r="O820" s="18"/>
      <c r="P820" s="18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N820" s="3"/>
      <c r="AO820" s="3"/>
    </row>
    <row r="821" spans="1:41" ht="14.25" customHeight="1" x14ac:dyDescent="0.25">
      <c r="A821" s="3"/>
      <c r="B821" s="40"/>
      <c r="C821" s="42"/>
      <c r="E821" s="3"/>
      <c r="L821" s="34"/>
      <c r="M821" s="34"/>
      <c r="O821" s="18"/>
      <c r="P821" s="18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N821" s="3"/>
      <c r="AO821" s="3"/>
    </row>
    <row r="822" spans="1:41" ht="14.25" customHeight="1" x14ac:dyDescent="0.25">
      <c r="A822" s="3"/>
      <c r="B822" s="40"/>
      <c r="C822" s="42"/>
      <c r="E822" s="3"/>
      <c r="L822" s="34"/>
      <c r="M822" s="34"/>
      <c r="O822" s="18"/>
      <c r="P822" s="18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N822" s="3"/>
      <c r="AO822" s="3"/>
    </row>
    <row r="823" spans="1:41" ht="14.25" customHeight="1" x14ac:dyDescent="0.25">
      <c r="A823" s="3"/>
      <c r="B823" s="40"/>
      <c r="C823" s="42"/>
      <c r="E823" s="3"/>
      <c r="L823" s="34"/>
      <c r="M823" s="34"/>
      <c r="O823" s="18"/>
      <c r="P823" s="18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N823" s="3"/>
      <c r="AO823" s="3"/>
    </row>
    <row r="824" spans="1:41" ht="14.25" customHeight="1" x14ac:dyDescent="0.25">
      <c r="A824" s="3"/>
      <c r="B824" s="40"/>
      <c r="C824" s="42"/>
      <c r="E824" s="3"/>
      <c r="L824" s="34"/>
      <c r="M824" s="34"/>
      <c r="O824" s="18"/>
      <c r="P824" s="18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N824" s="3"/>
      <c r="AO824" s="3"/>
    </row>
    <row r="825" spans="1:41" ht="14.25" customHeight="1" x14ac:dyDescent="0.25">
      <c r="A825" s="3"/>
      <c r="B825" s="40"/>
      <c r="C825" s="42"/>
      <c r="E825" s="3"/>
      <c r="L825" s="34"/>
      <c r="M825" s="34"/>
      <c r="O825" s="18"/>
      <c r="P825" s="18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N825" s="3"/>
      <c r="AO825" s="3"/>
    </row>
    <row r="826" spans="1:41" ht="14.25" customHeight="1" x14ac:dyDescent="0.25">
      <c r="A826" s="3"/>
      <c r="B826" s="40"/>
      <c r="C826" s="42"/>
      <c r="E826" s="3"/>
      <c r="L826" s="34"/>
      <c r="M826" s="34"/>
      <c r="O826" s="18"/>
      <c r="P826" s="18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N826" s="3"/>
      <c r="AO826" s="3"/>
    </row>
    <row r="827" spans="1:41" ht="14.25" customHeight="1" x14ac:dyDescent="0.25">
      <c r="A827" s="3"/>
      <c r="B827" s="40"/>
      <c r="C827" s="42"/>
      <c r="E827" s="3"/>
      <c r="L827" s="34"/>
      <c r="M827" s="34"/>
      <c r="O827" s="18"/>
      <c r="P827" s="18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N827" s="3"/>
      <c r="AO827" s="3"/>
    </row>
    <row r="828" spans="1:41" ht="14.25" customHeight="1" x14ac:dyDescent="0.25">
      <c r="A828" s="3"/>
      <c r="B828" s="40"/>
      <c r="C828" s="42"/>
      <c r="E828" s="3"/>
      <c r="L828" s="34"/>
      <c r="M828" s="34"/>
      <c r="O828" s="18"/>
      <c r="P828" s="18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N828" s="3"/>
      <c r="AO828" s="3"/>
    </row>
    <row r="829" spans="1:41" ht="14.25" customHeight="1" x14ac:dyDescent="0.25">
      <c r="A829" s="3"/>
      <c r="B829" s="40"/>
      <c r="C829" s="42"/>
      <c r="E829" s="3"/>
      <c r="L829" s="34"/>
      <c r="M829" s="34"/>
      <c r="O829" s="18"/>
      <c r="P829" s="18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N829" s="3"/>
      <c r="AO829" s="3"/>
    </row>
    <row r="830" spans="1:41" ht="14.25" customHeight="1" x14ac:dyDescent="0.25">
      <c r="A830" s="3"/>
      <c r="B830" s="40"/>
      <c r="C830" s="42"/>
      <c r="E830" s="3"/>
      <c r="L830" s="34"/>
      <c r="M830" s="34"/>
      <c r="O830" s="18"/>
      <c r="P830" s="18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N830" s="3"/>
      <c r="AO830" s="3"/>
    </row>
    <row r="831" spans="1:41" ht="14.25" customHeight="1" x14ac:dyDescent="0.25">
      <c r="A831" s="3"/>
      <c r="B831" s="40"/>
      <c r="C831" s="42"/>
      <c r="E831" s="3"/>
      <c r="L831" s="34"/>
      <c r="M831" s="34"/>
      <c r="O831" s="18"/>
      <c r="P831" s="18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N831" s="3"/>
      <c r="AO831" s="3"/>
    </row>
    <row r="832" spans="1:41" ht="14.25" customHeight="1" x14ac:dyDescent="0.25">
      <c r="A832" s="3"/>
      <c r="B832" s="40"/>
      <c r="C832" s="42"/>
      <c r="E832" s="3"/>
      <c r="L832" s="34"/>
      <c r="M832" s="34"/>
      <c r="O832" s="18"/>
      <c r="P832" s="18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N832" s="3"/>
      <c r="AO832" s="3"/>
    </row>
    <row r="833" spans="1:41" ht="14.25" customHeight="1" x14ac:dyDescent="0.25">
      <c r="A833" s="3"/>
      <c r="B833" s="40"/>
      <c r="C833" s="42"/>
      <c r="E833" s="3"/>
      <c r="L833" s="34"/>
      <c r="M833" s="34"/>
      <c r="O833" s="18"/>
      <c r="P833" s="18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N833" s="3"/>
      <c r="AO833" s="3"/>
    </row>
    <row r="834" spans="1:41" ht="14.25" customHeight="1" x14ac:dyDescent="0.25">
      <c r="A834" s="3"/>
      <c r="B834" s="40"/>
      <c r="C834" s="42"/>
      <c r="E834" s="3"/>
      <c r="L834" s="34"/>
      <c r="M834" s="34"/>
      <c r="O834" s="18"/>
      <c r="P834" s="18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N834" s="3"/>
      <c r="AO834" s="3"/>
    </row>
    <row r="835" spans="1:41" ht="14.25" customHeight="1" x14ac:dyDescent="0.25">
      <c r="A835" s="3"/>
      <c r="B835" s="40"/>
      <c r="C835" s="42"/>
      <c r="E835" s="3"/>
      <c r="L835" s="34"/>
      <c r="M835" s="34"/>
      <c r="O835" s="18"/>
      <c r="P835" s="18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N835" s="3"/>
      <c r="AO835" s="3"/>
    </row>
    <row r="836" spans="1:41" ht="14.25" customHeight="1" x14ac:dyDescent="0.25">
      <c r="A836" s="3"/>
      <c r="B836" s="40"/>
      <c r="C836" s="42"/>
      <c r="E836" s="3"/>
      <c r="L836" s="34"/>
      <c r="M836" s="34"/>
      <c r="O836" s="18"/>
      <c r="P836" s="18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N836" s="3"/>
      <c r="AO836" s="3"/>
    </row>
    <row r="837" spans="1:41" ht="14.25" customHeight="1" x14ac:dyDescent="0.25">
      <c r="A837" s="3"/>
      <c r="B837" s="40"/>
      <c r="C837" s="42"/>
      <c r="E837" s="3"/>
      <c r="L837" s="34"/>
      <c r="M837" s="34"/>
      <c r="O837" s="18"/>
      <c r="P837" s="18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N837" s="3"/>
      <c r="AO837" s="3"/>
    </row>
    <row r="838" spans="1:41" ht="14.25" customHeight="1" x14ac:dyDescent="0.25">
      <c r="A838" s="3"/>
      <c r="B838" s="40"/>
      <c r="C838" s="42"/>
      <c r="E838" s="3"/>
      <c r="L838" s="34"/>
      <c r="M838" s="34"/>
      <c r="O838" s="18"/>
      <c r="P838" s="18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N838" s="3"/>
      <c r="AO838" s="3"/>
    </row>
    <row r="839" spans="1:41" ht="14.25" customHeight="1" x14ac:dyDescent="0.25">
      <c r="A839" s="3"/>
      <c r="B839" s="40"/>
      <c r="C839" s="42"/>
      <c r="E839" s="3"/>
      <c r="L839" s="34"/>
      <c r="M839" s="34"/>
      <c r="O839" s="18"/>
      <c r="P839" s="18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N839" s="3"/>
      <c r="AO839" s="3"/>
    </row>
    <row r="840" spans="1:41" ht="14.25" customHeight="1" x14ac:dyDescent="0.25">
      <c r="A840" s="3"/>
      <c r="B840" s="40"/>
      <c r="C840" s="42"/>
      <c r="E840" s="3"/>
      <c r="L840" s="34"/>
      <c r="M840" s="34"/>
      <c r="O840" s="18"/>
      <c r="P840" s="18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N840" s="3"/>
      <c r="AO840" s="3"/>
    </row>
    <row r="841" spans="1:41" ht="14.25" customHeight="1" x14ac:dyDescent="0.25">
      <c r="A841" s="3"/>
      <c r="B841" s="40"/>
      <c r="C841" s="42"/>
      <c r="E841" s="3"/>
      <c r="L841" s="34"/>
      <c r="M841" s="34"/>
      <c r="O841" s="18"/>
      <c r="P841" s="18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N841" s="3"/>
      <c r="AO841" s="3"/>
    </row>
    <row r="842" spans="1:41" ht="14.25" customHeight="1" x14ac:dyDescent="0.25">
      <c r="A842" s="3"/>
      <c r="B842" s="40"/>
      <c r="C842" s="42"/>
      <c r="E842" s="3"/>
      <c r="L842" s="34"/>
      <c r="M842" s="34"/>
      <c r="O842" s="18"/>
      <c r="P842" s="18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N842" s="3"/>
      <c r="AO842" s="3"/>
    </row>
    <row r="843" spans="1:41" ht="14.25" customHeight="1" x14ac:dyDescent="0.25">
      <c r="A843" s="3"/>
      <c r="B843" s="40"/>
      <c r="C843" s="42"/>
      <c r="E843" s="3"/>
      <c r="L843" s="34"/>
      <c r="M843" s="34"/>
      <c r="O843" s="18"/>
      <c r="P843" s="18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N843" s="3"/>
      <c r="AO843" s="3"/>
    </row>
    <row r="844" spans="1:41" ht="14.25" customHeight="1" x14ac:dyDescent="0.25">
      <c r="A844" s="3"/>
      <c r="B844" s="40"/>
      <c r="C844" s="42"/>
      <c r="E844" s="3"/>
      <c r="L844" s="34"/>
      <c r="M844" s="34"/>
      <c r="O844" s="18"/>
      <c r="P844" s="18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N844" s="3"/>
      <c r="AO844" s="3"/>
    </row>
    <row r="845" spans="1:41" ht="14.25" customHeight="1" x14ac:dyDescent="0.25">
      <c r="A845" s="3"/>
      <c r="B845" s="40"/>
      <c r="C845" s="42"/>
      <c r="E845" s="3"/>
      <c r="L845" s="34"/>
      <c r="M845" s="34"/>
      <c r="O845" s="18"/>
      <c r="P845" s="18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N845" s="3"/>
      <c r="AO845" s="3"/>
    </row>
    <row r="846" spans="1:41" ht="14.25" customHeight="1" x14ac:dyDescent="0.25">
      <c r="A846" s="3"/>
      <c r="B846" s="40"/>
      <c r="C846" s="42"/>
      <c r="E846" s="3"/>
      <c r="L846" s="34"/>
      <c r="M846" s="34"/>
      <c r="O846" s="18"/>
      <c r="P846" s="18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N846" s="3"/>
      <c r="AO846" s="3"/>
    </row>
    <row r="847" spans="1:41" ht="14.25" customHeight="1" x14ac:dyDescent="0.25">
      <c r="A847" s="3"/>
      <c r="B847" s="40"/>
      <c r="C847" s="42"/>
      <c r="E847" s="3"/>
      <c r="L847" s="34"/>
      <c r="M847" s="34"/>
      <c r="O847" s="18"/>
      <c r="P847" s="18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N847" s="3"/>
      <c r="AO847" s="3"/>
    </row>
    <row r="848" spans="1:41" ht="14.25" customHeight="1" x14ac:dyDescent="0.25">
      <c r="A848" s="3"/>
      <c r="B848" s="40"/>
      <c r="C848" s="42"/>
      <c r="E848" s="3"/>
      <c r="L848" s="34"/>
      <c r="M848" s="34"/>
      <c r="O848" s="18"/>
      <c r="P848" s="18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N848" s="3"/>
      <c r="AO848" s="3"/>
    </row>
    <row r="849" spans="1:41" ht="14.25" customHeight="1" x14ac:dyDescent="0.25">
      <c r="A849" s="3"/>
      <c r="B849" s="40"/>
      <c r="C849" s="42"/>
      <c r="E849" s="3"/>
      <c r="L849" s="34"/>
      <c r="M849" s="34"/>
      <c r="O849" s="18"/>
      <c r="P849" s="18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N849" s="3"/>
      <c r="AO849" s="3"/>
    </row>
    <row r="850" spans="1:41" ht="14.25" customHeight="1" x14ac:dyDescent="0.25">
      <c r="A850" s="3"/>
      <c r="B850" s="40"/>
      <c r="C850" s="42"/>
      <c r="E850" s="3"/>
      <c r="L850" s="34"/>
      <c r="M850" s="34"/>
      <c r="O850" s="18"/>
      <c r="P850" s="18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N850" s="3"/>
      <c r="AO850" s="3"/>
    </row>
    <row r="851" spans="1:41" ht="14.25" customHeight="1" x14ac:dyDescent="0.25">
      <c r="A851" s="3"/>
      <c r="B851" s="40"/>
      <c r="C851" s="42"/>
      <c r="E851" s="3"/>
      <c r="L851" s="34"/>
      <c r="M851" s="34"/>
      <c r="O851" s="18"/>
      <c r="P851" s="18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N851" s="3"/>
      <c r="AO851" s="3"/>
    </row>
    <row r="852" spans="1:41" ht="14.25" customHeight="1" x14ac:dyDescent="0.25">
      <c r="A852" s="3"/>
      <c r="B852" s="40"/>
      <c r="C852" s="42"/>
      <c r="E852" s="3"/>
      <c r="L852" s="34"/>
      <c r="M852" s="34"/>
      <c r="O852" s="18"/>
      <c r="P852" s="18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N852" s="3"/>
      <c r="AO852" s="3"/>
    </row>
    <row r="853" spans="1:41" ht="14.25" customHeight="1" x14ac:dyDescent="0.25">
      <c r="A853" s="3"/>
      <c r="B853" s="40"/>
      <c r="C853" s="42"/>
      <c r="E853" s="3"/>
      <c r="L853" s="34"/>
      <c r="M853" s="34"/>
      <c r="O853" s="18"/>
      <c r="P853" s="18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N853" s="3"/>
      <c r="AO853" s="3"/>
    </row>
    <row r="854" spans="1:41" ht="14.25" customHeight="1" x14ac:dyDescent="0.25">
      <c r="A854" s="3"/>
      <c r="B854" s="40"/>
      <c r="C854" s="42"/>
      <c r="E854" s="3"/>
      <c r="L854" s="34"/>
      <c r="M854" s="34"/>
      <c r="O854" s="18"/>
      <c r="P854" s="18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N854" s="3"/>
      <c r="AO854" s="3"/>
    </row>
    <row r="855" spans="1:41" ht="14.25" customHeight="1" x14ac:dyDescent="0.25">
      <c r="A855" s="3"/>
      <c r="B855" s="40"/>
      <c r="C855" s="42"/>
      <c r="E855" s="3"/>
      <c r="L855" s="34"/>
      <c r="M855" s="34"/>
      <c r="O855" s="18"/>
      <c r="P855" s="18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N855" s="3"/>
      <c r="AO855" s="3"/>
    </row>
    <row r="856" spans="1:41" ht="14.25" customHeight="1" x14ac:dyDescent="0.25">
      <c r="A856" s="3"/>
      <c r="B856" s="40"/>
      <c r="C856" s="42"/>
      <c r="E856" s="3"/>
      <c r="L856" s="34"/>
      <c r="M856" s="34"/>
      <c r="O856" s="18"/>
      <c r="P856" s="18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N856" s="3"/>
      <c r="AO856" s="3"/>
    </row>
    <row r="857" spans="1:41" ht="14.25" customHeight="1" x14ac:dyDescent="0.25">
      <c r="A857" s="3"/>
      <c r="B857" s="40"/>
      <c r="C857" s="42"/>
      <c r="E857" s="3"/>
      <c r="L857" s="34"/>
      <c r="M857" s="34"/>
      <c r="O857" s="18"/>
      <c r="P857" s="18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N857" s="3"/>
      <c r="AO857" s="3"/>
    </row>
    <row r="858" spans="1:41" ht="14.25" customHeight="1" x14ac:dyDescent="0.25">
      <c r="A858" s="3"/>
      <c r="B858" s="40"/>
      <c r="C858" s="42"/>
      <c r="E858" s="3"/>
      <c r="L858" s="34"/>
      <c r="M858" s="34"/>
      <c r="O858" s="18"/>
      <c r="P858" s="18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N858" s="3"/>
      <c r="AO858" s="3"/>
    </row>
    <row r="859" spans="1:41" ht="14.25" customHeight="1" x14ac:dyDescent="0.25">
      <c r="A859" s="3"/>
      <c r="B859" s="40"/>
      <c r="C859" s="42"/>
      <c r="E859" s="3"/>
      <c r="L859" s="34"/>
      <c r="M859" s="34"/>
      <c r="O859" s="18"/>
      <c r="P859" s="18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N859" s="3"/>
      <c r="AO859" s="3"/>
    </row>
    <row r="860" spans="1:41" ht="14.25" customHeight="1" x14ac:dyDescent="0.25">
      <c r="A860" s="3"/>
      <c r="B860" s="40"/>
      <c r="C860" s="42"/>
      <c r="E860" s="3"/>
      <c r="L860" s="34"/>
      <c r="M860" s="34"/>
      <c r="O860" s="18"/>
      <c r="P860" s="18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N860" s="3"/>
      <c r="AO860" s="3"/>
    </row>
    <row r="861" spans="1:41" ht="14.25" customHeight="1" x14ac:dyDescent="0.25">
      <c r="A861" s="3"/>
      <c r="B861" s="40"/>
      <c r="C861" s="42"/>
      <c r="E861" s="3"/>
      <c r="L861" s="34"/>
      <c r="M861" s="34"/>
      <c r="O861" s="18"/>
      <c r="P861" s="18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N861" s="3"/>
      <c r="AO861" s="3"/>
    </row>
    <row r="862" spans="1:41" ht="14.25" customHeight="1" x14ac:dyDescent="0.25">
      <c r="A862" s="3"/>
      <c r="B862" s="40"/>
      <c r="C862" s="42"/>
      <c r="E862" s="3"/>
      <c r="L862" s="34"/>
      <c r="M862" s="34"/>
      <c r="O862" s="18"/>
      <c r="P862" s="18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N862" s="3"/>
      <c r="AO862" s="3"/>
    </row>
    <row r="863" spans="1:41" ht="14.25" customHeight="1" x14ac:dyDescent="0.25">
      <c r="A863" s="3"/>
      <c r="B863" s="40"/>
      <c r="C863" s="42"/>
      <c r="E863" s="3"/>
      <c r="L863" s="34"/>
      <c r="M863" s="34"/>
      <c r="O863" s="18"/>
      <c r="P863" s="18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N863" s="3"/>
      <c r="AO863" s="3"/>
    </row>
    <row r="864" spans="1:41" ht="14.25" customHeight="1" x14ac:dyDescent="0.25">
      <c r="A864" s="3"/>
      <c r="B864" s="40"/>
      <c r="C864" s="42"/>
      <c r="E864" s="3"/>
      <c r="L864" s="34"/>
      <c r="M864" s="34"/>
      <c r="O864" s="18"/>
      <c r="P864" s="18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N864" s="3"/>
      <c r="AO864" s="3"/>
    </row>
    <row r="865" spans="1:41" ht="14.25" customHeight="1" x14ac:dyDescent="0.25">
      <c r="A865" s="3"/>
      <c r="B865" s="40"/>
      <c r="C865" s="42"/>
      <c r="E865" s="3"/>
      <c r="L865" s="34"/>
      <c r="M865" s="34"/>
      <c r="O865" s="18"/>
      <c r="P865" s="18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N865" s="3"/>
      <c r="AO865" s="3"/>
    </row>
    <row r="866" spans="1:41" ht="14.25" customHeight="1" x14ac:dyDescent="0.25">
      <c r="A866" s="3"/>
      <c r="B866" s="40"/>
      <c r="C866" s="42"/>
      <c r="E866" s="3"/>
      <c r="L866" s="34"/>
      <c r="M866" s="34"/>
      <c r="O866" s="18"/>
      <c r="P866" s="18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N866" s="3"/>
      <c r="AO866" s="3"/>
    </row>
    <row r="867" spans="1:41" ht="14.25" customHeight="1" x14ac:dyDescent="0.25">
      <c r="A867" s="3"/>
      <c r="B867" s="40"/>
      <c r="C867" s="42"/>
      <c r="E867" s="3"/>
      <c r="L867" s="34"/>
      <c r="M867" s="34"/>
      <c r="O867" s="18"/>
      <c r="P867" s="18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N867" s="3"/>
      <c r="AO867" s="3"/>
    </row>
    <row r="868" spans="1:41" ht="14.25" customHeight="1" x14ac:dyDescent="0.25">
      <c r="A868" s="3"/>
      <c r="B868" s="40"/>
      <c r="C868" s="42"/>
      <c r="E868" s="3"/>
      <c r="L868" s="34"/>
      <c r="M868" s="34"/>
      <c r="O868" s="18"/>
      <c r="P868" s="18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N868" s="3"/>
      <c r="AO868" s="3"/>
    </row>
    <row r="869" spans="1:41" ht="14.25" customHeight="1" x14ac:dyDescent="0.25">
      <c r="A869" s="3"/>
      <c r="B869" s="40"/>
      <c r="C869" s="42"/>
      <c r="E869" s="3"/>
      <c r="L869" s="34"/>
      <c r="M869" s="34"/>
      <c r="O869" s="18"/>
      <c r="P869" s="18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N869" s="3"/>
      <c r="AO869" s="3"/>
    </row>
    <row r="870" spans="1:41" ht="14.25" customHeight="1" x14ac:dyDescent="0.25">
      <c r="A870" s="3"/>
      <c r="B870" s="40"/>
      <c r="C870" s="42"/>
      <c r="E870" s="3"/>
      <c r="L870" s="34"/>
      <c r="M870" s="34"/>
      <c r="O870" s="18"/>
      <c r="P870" s="18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N870" s="3"/>
      <c r="AO870" s="3"/>
    </row>
    <row r="871" spans="1:41" ht="14.25" customHeight="1" x14ac:dyDescent="0.25">
      <c r="A871" s="3"/>
      <c r="B871" s="40"/>
      <c r="C871" s="42"/>
      <c r="E871" s="3"/>
      <c r="L871" s="34"/>
      <c r="M871" s="34"/>
      <c r="O871" s="18"/>
      <c r="P871" s="18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N871" s="3"/>
      <c r="AO871" s="3"/>
    </row>
    <row r="872" spans="1:41" ht="14.25" customHeight="1" x14ac:dyDescent="0.25">
      <c r="A872" s="3"/>
      <c r="B872" s="40"/>
      <c r="C872" s="42"/>
      <c r="E872" s="3"/>
      <c r="L872" s="34"/>
      <c r="M872" s="34"/>
      <c r="O872" s="18"/>
      <c r="P872" s="18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N872" s="3"/>
      <c r="AO872" s="3"/>
    </row>
    <row r="873" spans="1:41" ht="14.25" customHeight="1" x14ac:dyDescent="0.25">
      <c r="A873" s="3"/>
      <c r="B873" s="40"/>
      <c r="C873" s="42"/>
      <c r="E873" s="3"/>
      <c r="L873" s="34"/>
      <c r="M873" s="34"/>
      <c r="O873" s="18"/>
      <c r="P873" s="18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N873" s="3"/>
      <c r="AO873" s="3"/>
    </row>
    <row r="874" spans="1:41" ht="14.25" customHeight="1" x14ac:dyDescent="0.25">
      <c r="A874" s="3"/>
      <c r="B874" s="40"/>
      <c r="C874" s="42"/>
      <c r="E874" s="3"/>
      <c r="L874" s="34"/>
      <c r="M874" s="34"/>
      <c r="O874" s="18"/>
      <c r="P874" s="18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N874" s="3"/>
      <c r="AO874" s="3"/>
    </row>
    <row r="875" spans="1:41" ht="14.25" customHeight="1" x14ac:dyDescent="0.25">
      <c r="A875" s="3"/>
      <c r="B875" s="40"/>
      <c r="C875" s="42"/>
      <c r="E875" s="3"/>
      <c r="L875" s="34"/>
      <c r="M875" s="34"/>
      <c r="O875" s="18"/>
      <c r="P875" s="18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N875" s="3"/>
      <c r="AO875" s="3"/>
    </row>
    <row r="876" spans="1:41" ht="14.25" customHeight="1" x14ac:dyDescent="0.25">
      <c r="A876" s="3"/>
      <c r="B876" s="40"/>
      <c r="C876" s="42"/>
      <c r="E876" s="3"/>
      <c r="L876" s="34"/>
      <c r="M876" s="34"/>
      <c r="O876" s="18"/>
      <c r="P876" s="18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N876" s="3"/>
      <c r="AO876" s="3"/>
    </row>
    <row r="877" spans="1:41" ht="14.25" customHeight="1" x14ac:dyDescent="0.25">
      <c r="A877" s="3"/>
      <c r="B877" s="40"/>
      <c r="C877" s="42"/>
      <c r="E877" s="3"/>
      <c r="L877" s="34"/>
      <c r="M877" s="34"/>
      <c r="O877" s="18"/>
      <c r="P877" s="18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N877" s="3"/>
      <c r="AO877" s="3"/>
    </row>
    <row r="878" spans="1:41" ht="14.25" customHeight="1" x14ac:dyDescent="0.25">
      <c r="A878" s="3"/>
      <c r="B878" s="40"/>
      <c r="C878" s="42"/>
      <c r="E878" s="3"/>
      <c r="L878" s="34"/>
      <c r="M878" s="34"/>
      <c r="O878" s="18"/>
      <c r="P878" s="18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N878" s="3"/>
      <c r="AO878" s="3"/>
    </row>
    <row r="879" spans="1:41" ht="14.25" customHeight="1" x14ac:dyDescent="0.25">
      <c r="A879" s="3"/>
      <c r="B879" s="40"/>
      <c r="C879" s="42"/>
      <c r="E879" s="3"/>
      <c r="L879" s="34"/>
      <c r="M879" s="34"/>
      <c r="O879" s="18"/>
      <c r="P879" s="18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N879" s="3"/>
      <c r="AO879" s="3"/>
    </row>
    <row r="880" spans="1:41" ht="14.25" customHeight="1" x14ac:dyDescent="0.25">
      <c r="A880" s="3"/>
      <c r="B880" s="40"/>
      <c r="C880" s="42"/>
      <c r="E880" s="3"/>
      <c r="L880" s="34"/>
      <c r="M880" s="34"/>
      <c r="O880" s="18"/>
      <c r="P880" s="18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N880" s="3"/>
      <c r="AO880" s="3"/>
    </row>
    <row r="881" spans="1:41" ht="14.25" customHeight="1" x14ac:dyDescent="0.25">
      <c r="A881" s="3"/>
      <c r="B881" s="40"/>
      <c r="C881" s="42"/>
      <c r="E881" s="3"/>
      <c r="L881" s="34"/>
      <c r="M881" s="34"/>
      <c r="O881" s="18"/>
      <c r="P881" s="18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N881" s="3"/>
      <c r="AO881" s="3"/>
    </row>
    <row r="882" spans="1:41" ht="14.25" customHeight="1" x14ac:dyDescent="0.25">
      <c r="A882" s="3"/>
      <c r="B882" s="40"/>
      <c r="C882" s="42"/>
      <c r="E882" s="3"/>
      <c r="L882" s="34"/>
      <c r="M882" s="34"/>
      <c r="O882" s="18"/>
      <c r="P882" s="18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N882" s="3"/>
      <c r="AO882" s="3"/>
    </row>
    <row r="883" spans="1:41" ht="14.25" customHeight="1" x14ac:dyDescent="0.25">
      <c r="A883" s="3"/>
      <c r="B883" s="40"/>
      <c r="C883" s="42"/>
      <c r="E883" s="3"/>
      <c r="L883" s="34"/>
      <c r="M883" s="34"/>
      <c r="O883" s="18"/>
      <c r="P883" s="18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N883" s="3"/>
      <c r="AO883" s="3"/>
    </row>
    <row r="884" spans="1:41" ht="14.25" customHeight="1" x14ac:dyDescent="0.25">
      <c r="A884" s="3"/>
      <c r="B884" s="40"/>
      <c r="C884" s="42"/>
      <c r="E884" s="3"/>
      <c r="L884" s="34"/>
      <c r="M884" s="34"/>
      <c r="O884" s="18"/>
      <c r="P884" s="18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N884" s="3"/>
      <c r="AO884" s="3"/>
    </row>
    <row r="885" spans="1:41" ht="14.25" customHeight="1" x14ac:dyDescent="0.25">
      <c r="A885" s="3"/>
      <c r="B885" s="40"/>
      <c r="C885" s="42"/>
      <c r="E885" s="3"/>
      <c r="L885" s="34"/>
      <c r="M885" s="34"/>
      <c r="O885" s="18"/>
      <c r="P885" s="18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N885" s="3"/>
      <c r="AO885" s="3"/>
    </row>
    <row r="886" spans="1:41" ht="14.25" customHeight="1" x14ac:dyDescent="0.25">
      <c r="A886" s="3"/>
      <c r="B886" s="40"/>
      <c r="C886" s="42"/>
      <c r="E886" s="3"/>
      <c r="L886" s="34"/>
      <c r="M886" s="34"/>
      <c r="O886" s="18"/>
      <c r="P886" s="18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N886" s="3"/>
      <c r="AO886" s="3"/>
    </row>
    <row r="887" spans="1:41" ht="14.25" customHeight="1" x14ac:dyDescent="0.25">
      <c r="A887" s="3"/>
      <c r="B887" s="40"/>
      <c r="C887" s="42"/>
      <c r="E887" s="3"/>
      <c r="L887" s="34"/>
      <c r="M887" s="34"/>
      <c r="O887" s="18"/>
      <c r="P887" s="18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N887" s="3"/>
      <c r="AO887" s="3"/>
    </row>
    <row r="888" spans="1:41" ht="14.25" customHeight="1" x14ac:dyDescent="0.25">
      <c r="A888" s="3"/>
      <c r="B888" s="40"/>
      <c r="C888" s="42"/>
      <c r="E888" s="3"/>
      <c r="L888" s="34"/>
      <c r="M888" s="34"/>
      <c r="O888" s="18"/>
      <c r="P888" s="18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N888" s="3"/>
      <c r="AO888" s="3"/>
    </row>
    <row r="889" spans="1:41" ht="14.25" customHeight="1" x14ac:dyDescent="0.25">
      <c r="A889" s="3"/>
      <c r="B889" s="40"/>
      <c r="C889" s="42"/>
      <c r="E889" s="3"/>
      <c r="L889" s="34"/>
      <c r="M889" s="34"/>
      <c r="O889" s="18"/>
      <c r="P889" s="18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N889" s="3"/>
      <c r="AO889" s="3"/>
    </row>
    <row r="890" spans="1:41" ht="14.25" customHeight="1" x14ac:dyDescent="0.25">
      <c r="A890" s="3"/>
      <c r="B890" s="40"/>
      <c r="C890" s="42"/>
      <c r="E890" s="3"/>
      <c r="L890" s="34"/>
      <c r="M890" s="34"/>
      <c r="O890" s="18"/>
      <c r="P890" s="18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N890" s="3"/>
      <c r="AO890" s="3"/>
    </row>
    <row r="891" spans="1:41" ht="14.25" customHeight="1" x14ac:dyDescent="0.25">
      <c r="A891" s="3"/>
      <c r="B891" s="40"/>
      <c r="C891" s="42"/>
      <c r="E891" s="3"/>
      <c r="L891" s="34"/>
      <c r="M891" s="34"/>
      <c r="O891" s="18"/>
      <c r="P891" s="18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N891" s="3"/>
      <c r="AO891" s="3"/>
    </row>
    <row r="892" spans="1:41" ht="14.25" customHeight="1" x14ac:dyDescent="0.25">
      <c r="A892" s="3"/>
      <c r="B892" s="40"/>
      <c r="C892" s="42"/>
      <c r="E892" s="3"/>
      <c r="L892" s="34"/>
      <c r="M892" s="34"/>
      <c r="O892" s="18"/>
      <c r="P892" s="18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N892" s="3"/>
      <c r="AO892" s="3"/>
    </row>
    <row r="893" spans="1:41" ht="14.25" customHeight="1" x14ac:dyDescent="0.25">
      <c r="A893" s="3"/>
      <c r="B893" s="40"/>
      <c r="C893" s="42"/>
      <c r="E893" s="3"/>
      <c r="L893" s="34"/>
      <c r="M893" s="34"/>
      <c r="O893" s="18"/>
      <c r="P893" s="18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N893" s="3"/>
      <c r="AO893" s="3"/>
    </row>
    <row r="894" spans="1:41" ht="14.25" customHeight="1" x14ac:dyDescent="0.25">
      <c r="A894" s="3"/>
      <c r="B894" s="40"/>
      <c r="C894" s="42"/>
      <c r="E894" s="3"/>
      <c r="L894" s="34"/>
      <c r="M894" s="34"/>
      <c r="O894" s="18"/>
      <c r="P894" s="18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N894" s="3"/>
      <c r="AO894" s="3"/>
    </row>
    <row r="895" spans="1:41" ht="14.25" customHeight="1" x14ac:dyDescent="0.25">
      <c r="A895" s="3"/>
      <c r="B895" s="40"/>
      <c r="C895" s="42"/>
      <c r="E895" s="3"/>
      <c r="L895" s="34"/>
      <c r="M895" s="34"/>
      <c r="O895" s="18"/>
      <c r="P895" s="18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N895" s="3"/>
      <c r="AO895" s="3"/>
    </row>
    <row r="896" spans="1:41" ht="14.25" customHeight="1" x14ac:dyDescent="0.25">
      <c r="A896" s="3"/>
      <c r="B896" s="40"/>
      <c r="C896" s="42"/>
      <c r="E896" s="3"/>
      <c r="L896" s="34"/>
      <c r="M896" s="34"/>
      <c r="O896" s="18"/>
      <c r="P896" s="18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N896" s="3"/>
      <c r="AO896" s="3"/>
    </row>
    <row r="897" spans="1:41" ht="14.25" customHeight="1" x14ac:dyDescent="0.25">
      <c r="A897" s="3"/>
      <c r="B897" s="40"/>
      <c r="C897" s="42"/>
      <c r="E897" s="3"/>
      <c r="L897" s="34"/>
      <c r="M897" s="34"/>
      <c r="O897" s="18"/>
      <c r="P897" s="18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N897" s="3"/>
      <c r="AO897" s="3"/>
    </row>
    <row r="898" spans="1:41" ht="14.25" customHeight="1" x14ac:dyDescent="0.25">
      <c r="A898" s="3"/>
      <c r="B898" s="40"/>
      <c r="C898" s="42"/>
      <c r="E898" s="3"/>
      <c r="L898" s="34"/>
      <c r="M898" s="34"/>
      <c r="O898" s="18"/>
      <c r="P898" s="18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N898" s="3"/>
      <c r="AO898" s="3"/>
    </row>
    <row r="899" spans="1:41" ht="14.25" customHeight="1" x14ac:dyDescent="0.25">
      <c r="A899" s="3"/>
      <c r="B899" s="40"/>
      <c r="C899" s="42"/>
      <c r="E899" s="3"/>
      <c r="L899" s="34"/>
      <c r="M899" s="34"/>
      <c r="O899" s="18"/>
      <c r="P899" s="18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N899" s="3"/>
      <c r="AO899" s="3"/>
    </row>
    <row r="900" spans="1:41" ht="14.25" customHeight="1" x14ac:dyDescent="0.25">
      <c r="A900" s="3"/>
      <c r="B900" s="40"/>
      <c r="C900" s="42"/>
      <c r="E900" s="3"/>
      <c r="L900" s="34"/>
      <c r="M900" s="34"/>
      <c r="O900" s="18"/>
      <c r="P900" s="18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N900" s="3"/>
      <c r="AO900" s="3"/>
    </row>
    <row r="901" spans="1:41" ht="14.25" customHeight="1" x14ac:dyDescent="0.25">
      <c r="A901" s="3"/>
      <c r="B901" s="40"/>
      <c r="C901" s="42"/>
      <c r="E901" s="3"/>
      <c r="L901" s="34"/>
      <c r="M901" s="34"/>
      <c r="O901" s="18"/>
      <c r="P901" s="18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N901" s="3"/>
      <c r="AO901" s="3"/>
    </row>
    <row r="902" spans="1:41" ht="14.25" customHeight="1" x14ac:dyDescent="0.25">
      <c r="A902" s="3"/>
      <c r="B902" s="40"/>
      <c r="C902" s="42"/>
      <c r="E902" s="3"/>
      <c r="L902" s="34"/>
      <c r="M902" s="34"/>
      <c r="O902" s="18"/>
      <c r="P902" s="18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N902" s="3"/>
      <c r="AO902" s="3"/>
    </row>
    <row r="903" spans="1:41" ht="14.25" customHeight="1" x14ac:dyDescent="0.25">
      <c r="A903" s="3"/>
      <c r="B903" s="40"/>
      <c r="C903" s="42"/>
      <c r="E903" s="3"/>
      <c r="L903" s="34"/>
      <c r="M903" s="34"/>
      <c r="O903" s="18"/>
      <c r="P903" s="18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N903" s="3"/>
      <c r="AO903" s="3"/>
    </row>
    <row r="904" spans="1:41" ht="14.25" customHeight="1" x14ac:dyDescent="0.25">
      <c r="A904" s="3"/>
      <c r="B904" s="40"/>
      <c r="C904" s="42"/>
      <c r="E904" s="3"/>
      <c r="L904" s="34"/>
      <c r="M904" s="34"/>
      <c r="O904" s="18"/>
      <c r="P904" s="18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N904" s="3"/>
      <c r="AO904" s="3"/>
    </row>
    <row r="905" spans="1:41" ht="14.25" customHeight="1" x14ac:dyDescent="0.25">
      <c r="A905" s="3"/>
      <c r="B905" s="40"/>
      <c r="C905" s="42"/>
      <c r="E905" s="3"/>
      <c r="L905" s="34"/>
      <c r="M905" s="34"/>
      <c r="O905" s="18"/>
      <c r="P905" s="18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N905" s="3"/>
      <c r="AO905" s="3"/>
    </row>
    <row r="906" spans="1:41" ht="14.25" customHeight="1" x14ac:dyDescent="0.25">
      <c r="A906" s="3"/>
      <c r="B906" s="40"/>
      <c r="C906" s="42"/>
      <c r="E906" s="3"/>
      <c r="L906" s="34"/>
      <c r="M906" s="34"/>
      <c r="O906" s="18"/>
      <c r="P906" s="18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N906" s="3"/>
      <c r="AO906" s="3"/>
    </row>
    <row r="907" spans="1:41" ht="14.25" customHeight="1" x14ac:dyDescent="0.25">
      <c r="A907" s="3"/>
      <c r="B907" s="40"/>
      <c r="C907" s="42"/>
      <c r="E907" s="3"/>
      <c r="L907" s="34"/>
      <c r="M907" s="34"/>
      <c r="O907" s="18"/>
      <c r="P907" s="18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N907" s="3"/>
      <c r="AO907" s="3"/>
    </row>
    <row r="908" spans="1:41" ht="14.25" customHeight="1" x14ac:dyDescent="0.25">
      <c r="A908" s="3"/>
      <c r="B908" s="40"/>
      <c r="C908" s="42"/>
      <c r="E908" s="3"/>
      <c r="L908" s="34"/>
      <c r="M908" s="34"/>
      <c r="O908" s="18"/>
      <c r="P908" s="18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N908" s="3"/>
      <c r="AO908" s="3"/>
    </row>
    <row r="909" spans="1:41" ht="14.25" customHeight="1" x14ac:dyDescent="0.25">
      <c r="A909" s="3"/>
      <c r="B909" s="40"/>
      <c r="C909" s="42"/>
      <c r="E909" s="3"/>
      <c r="L909" s="34"/>
      <c r="M909" s="34"/>
      <c r="O909" s="18"/>
      <c r="P909" s="18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N909" s="3"/>
      <c r="AO909" s="3"/>
    </row>
    <row r="910" spans="1:41" ht="14.25" customHeight="1" x14ac:dyDescent="0.25">
      <c r="A910" s="3"/>
      <c r="B910" s="40"/>
      <c r="C910" s="42"/>
      <c r="E910" s="3"/>
      <c r="L910" s="34"/>
      <c r="M910" s="34"/>
      <c r="O910" s="18"/>
      <c r="P910" s="18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N910" s="3"/>
      <c r="AO910" s="3"/>
    </row>
    <row r="911" spans="1:41" ht="14.25" customHeight="1" x14ac:dyDescent="0.25">
      <c r="A911" s="3"/>
      <c r="B911" s="40"/>
      <c r="C911" s="42"/>
      <c r="E911" s="3"/>
      <c r="L911" s="34"/>
      <c r="M911" s="34"/>
      <c r="O911" s="18"/>
      <c r="P911" s="18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N911" s="3"/>
      <c r="AO911" s="3"/>
    </row>
    <row r="912" spans="1:41" ht="14.25" customHeight="1" x14ac:dyDescent="0.25">
      <c r="A912" s="3"/>
      <c r="B912" s="40"/>
      <c r="C912" s="42"/>
      <c r="E912" s="3"/>
      <c r="L912" s="34"/>
      <c r="M912" s="34"/>
      <c r="O912" s="18"/>
      <c r="P912" s="18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N912" s="3"/>
      <c r="AO912" s="3"/>
    </row>
    <row r="913" spans="1:41" ht="14.25" customHeight="1" x14ac:dyDescent="0.25">
      <c r="A913" s="3"/>
      <c r="B913" s="40"/>
      <c r="C913" s="42"/>
      <c r="E913" s="3"/>
      <c r="L913" s="34"/>
      <c r="M913" s="34"/>
      <c r="O913" s="18"/>
      <c r="P913" s="18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N913" s="3"/>
      <c r="AO913" s="3"/>
    </row>
    <row r="914" spans="1:41" ht="14.25" customHeight="1" x14ac:dyDescent="0.25">
      <c r="A914" s="3"/>
      <c r="B914" s="40"/>
      <c r="C914" s="42"/>
      <c r="E914" s="3"/>
      <c r="L914" s="34"/>
      <c r="M914" s="34"/>
      <c r="O914" s="18"/>
      <c r="P914" s="18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N914" s="3"/>
      <c r="AO914" s="3"/>
    </row>
    <row r="915" spans="1:41" ht="14.25" customHeight="1" x14ac:dyDescent="0.25">
      <c r="A915" s="3"/>
      <c r="B915" s="40"/>
      <c r="C915" s="42"/>
      <c r="E915" s="3"/>
      <c r="L915" s="34"/>
      <c r="M915" s="34"/>
      <c r="O915" s="18"/>
      <c r="P915" s="18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N915" s="3"/>
      <c r="AO915" s="3"/>
    </row>
    <row r="916" spans="1:41" ht="14.25" customHeight="1" x14ac:dyDescent="0.25">
      <c r="A916" s="3"/>
      <c r="B916" s="40"/>
      <c r="C916" s="42"/>
      <c r="E916" s="3"/>
      <c r="L916" s="34"/>
      <c r="M916" s="34"/>
      <c r="O916" s="18"/>
      <c r="P916" s="18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N916" s="3"/>
      <c r="AO916" s="3"/>
    </row>
    <row r="917" spans="1:41" ht="14.25" customHeight="1" x14ac:dyDescent="0.25">
      <c r="A917" s="3"/>
      <c r="B917" s="40"/>
      <c r="C917" s="42"/>
      <c r="E917" s="3"/>
      <c r="L917" s="34"/>
      <c r="M917" s="34"/>
      <c r="O917" s="18"/>
      <c r="P917" s="18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N917" s="3"/>
      <c r="AO917" s="3"/>
    </row>
    <row r="918" spans="1:41" ht="14.25" customHeight="1" x14ac:dyDescent="0.25">
      <c r="A918" s="3"/>
      <c r="B918" s="40"/>
      <c r="C918" s="42"/>
      <c r="E918" s="3"/>
      <c r="L918" s="34"/>
      <c r="M918" s="34"/>
      <c r="O918" s="18"/>
      <c r="P918" s="18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N918" s="3"/>
      <c r="AO918" s="3"/>
    </row>
    <row r="919" spans="1:41" ht="14.25" customHeight="1" x14ac:dyDescent="0.25">
      <c r="A919" s="3"/>
      <c r="B919" s="40"/>
      <c r="C919" s="42"/>
      <c r="E919" s="3"/>
      <c r="L919" s="34"/>
      <c r="M919" s="34"/>
      <c r="O919" s="18"/>
      <c r="P919" s="18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N919" s="3"/>
      <c r="AO919" s="3"/>
    </row>
    <row r="920" spans="1:41" ht="14.25" customHeight="1" x14ac:dyDescent="0.25">
      <c r="A920" s="3"/>
      <c r="B920" s="40"/>
      <c r="C920" s="42"/>
      <c r="E920" s="3"/>
      <c r="L920" s="34"/>
      <c r="M920" s="34"/>
      <c r="O920" s="18"/>
      <c r="P920" s="18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N920" s="3"/>
      <c r="AO920" s="3"/>
    </row>
    <row r="921" spans="1:41" ht="14.25" customHeight="1" x14ac:dyDescent="0.25">
      <c r="A921" s="3"/>
      <c r="B921" s="40"/>
      <c r="C921" s="42"/>
      <c r="E921" s="3"/>
      <c r="L921" s="34"/>
      <c r="M921" s="34"/>
      <c r="O921" s="18"/>
      <c r="P921" s="18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N921" s="3"/>
      <c r="AO921" s="3"/>
    </row>
    <row r="922" spans="1:41" ht="14.25" customHeight="1" x14ac:dyDescent="0.25">
      <c r="A922" s="3"/>
      <c r="B922" s="40"/>
      <c r="C922" s="42"/>
      <c r="E922" s="3"/>
      <c r="L922" s="34"/>
      <c r="M922" s="34"/>
      <c r="O922" s="18"/>
      <c r="P922" s="18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N922" s="3"/>
      <c r="AO922" s="3"/>
    </row>
    <row r="923" spans="1:41" ht="14.25" customHeight="1" x14ac:dyDescent="0.25">
      <c r="A923" s="3"/>
      <c r="B923" s="40"/>
      <c r="C923" s="42"/>
      <c r="E923" s="3"/>
      <c r="L923" s="34"/>
      <c r="M923" s="34"/>
      <c r="O923" s="18"/>
      <c r="P923" s="18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N923" s="3"/>
      <c r="AO923" s="3"/>
    </row>
    <row r="924" spans="1:41" ht="14.25" customHeight="1" x14ac:dyDescent="0.25">
      <c r="A924" s="3"/>
      <c r="B924" s="40"/>
      <c r="C924" s="42"/>
      <c r="E924" s="3"/>
      <c r="L924" s="34"/>
      <c r="M924" s="34"/>
      <c r="O924" s="18"/>
      <c r="P924" s="18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N924" s="3"/>
      <c r="AO924" s="3"/>
    </row>
    <row r="925" spans="1:41" ht="14.25" customHeight="1" x14ac:dyDescent="0.25">
      <c r="A925" s="3"/>
      <c r="B925" s="40"/>
      <c r="C925" s="42"/>
      <c r="E925" s="3"/>
      <c r="L925" s="34"/>
      <c r="M925" s="34"/>
      <c r="O925" s="18"/>
      <c r="P925" s="18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N925" s="3"/>
      <c r="AO925" s="3"/>
    </row>
    <row r="926" spans="1:41" ht="14.25" customHeight="1" x14ac:dyDescent="0.25">
      <c r="A926" s="3"/>
      <c r="B926" s="40"/>
      <c r="C926" s="42"/>
      <c r="E926" s="3"/>
      <c r="L926" s="34"/>
      <c r="M926" s="34"/>
      <c r="O926" s="18"/>
      <c r="P926" s="18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N926" s="3"/>
      <c r="AO926" s="3"/>
    </row>
    <row r="927" spans="1:41" ht="14.25" customHeight="1" x14ac:dyDescent="0.25">
      <c r="A927" s="3"/>
      <c r="B927" s="40"/>
      <c r="C927" s="42"/>
      <c r="E927" s="3"/>
      <c r="L927" s="34"/>
      <c r="M927" s="34"/>
      <c r="O927" s="18"/>
      <c r="P927" s="18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N927" s="3"/>
      <c r="AO927" s="3"/>
    </row>
    <row r="928" spans="1:41" ht="14.25" customHeight="1" x14ac:dyDescent="0.25">
      <c r="A928" s="3"/>
      <c r="B928" s="40"/>
      <c r="C928" s="42"/>
      <c r="E928" s="3"/>
      <c r="L928" s="34"/>
      <c r="M928" s="34"/>
      <c r="O928" s="18"/>
      <c r="P928" s="18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N928" s="3"/>
      <c r="AO928" s="3"/>
    </row>
    <row r="929" spans="1:41" ht="14.25" customHeight="1" x14ac:dyDescent="0.25">
      <c r="A929" s="3"/>
      <c r="B929" s="40"/>
      <c r="C929" s="42"/>
      <c r="E929" s="3"/>
      <c r="L929" s="34"/>
      <c r="M929" s="34"/>
      <c r="O929" s="18"/>
      <c r="P929" s="18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N929" s="3"/>
      <c r="AO929" s="3"/>
    </row>
    <row r="930" spans="1:41" ht="14.25" customHeight="1" x14ac:dyDescent="0.25">
      <c r="A930" s="3"/>
      <c r="B930" s="40"/>
      <c r="C930" s="42"/>
      <c r="E930" s="3"/>
      <c r="L930" s="34"/>
      <c r="M930" s="34"/>
      <c r="O930" s="18"/>
      <c r="P930" s="18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N930" s="3"/>
      <c r="AO930" s="3"/>
    </row>
    <row r="931" spans="1:41" ht="14.25" customHeight="1" x14ac:dyDescent="0.25">
      <c r="A931" s="3"/>
      <c r="B931" s="40"/>
      <c r="C931" s="42"/>
      <c r="E931" s="3"/>
      <c r="L931" s="34"/>
      <c r="M931" s="34"/>
      <c r="O931" s="18"/>
      <c r="P931" s="18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N931" s="3"/>
      <c r="AO931" s="3"/>
    </row>
    <row r="932" spans="1:41" ht="14.25" customHeight="1" x14ac:dyDescent="0.25">
      <c r="A932" s="3"/>
      <c r="B932" s="40"/>
      <c r="C932" s="42"/>
      <c r="E932" s="3"/>
      <c r="L932" s="34"/>
      <c r="M932" s="34"/>
      <c r="O932" s="18"/>
      <c r="P932" s="18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N932" s="3"/>
      <c r="AO932" s="3"/>
    </row>
    <row r="933" spans="1:41" ht="14.25" customHeight="1" x14ac:dyDescent="0.25">
      <c r="A933" s="3"/>
      <c r="B933" s="40"/>
      <c r="C933" s="42"/>
      <c r="E933" s="3"/>
      <c r="L933" s="34"/>
      <c r="M933" s="34"/>
      <c r="O933" s="18"/>
      <c r="P933" s="18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N933" s="3"/>
      <c r="AO933" s="3"/>
    </row>
    <row r="934" spans="1:41" ht="14.25" customHeight="1" x14ac:dyDescent="0.25">
      <c r="A934" s="3"/>
      <c r="B934" s="40"/>
      <c r="C934" s="42"/>
      <c r="E934" s="3"/>
      <c r="L934" s="34"/>
      <c r="M934" s="34"/>
      <c r="O934" s="18"/>
      <c r="P934" s="18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N934" s="3"/>
      <c r="AO934" s="3"/>
    </row>
    <row r="935" spans="1:41" ht="14.25" customHeight="1" x14ac:dyDescent="0.25">
      <c r="A935" s="3"/>
      <c r="B935" s="40"/>
      <c r="C935" s="42"/>
      <c r="E935" s="3"/>
      <c r="L935" s="34"/>
      <c r="M935" s="34"/>
      <c r="O935" s="18"/>
      <c r="P935" s="18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N935" s="3"/>
      <c r="AO935" s="3"/>
    </row>
    <row r="936" spans="1:41" ht="14.25" customHeight="1" x14ac:dyDescent="0.25">
      <c r="A936" s="3"/>
      <c r="B936" s="40"/>
      <c r="C936" s="42"/>
      <c r="E936" s="3"/>
      <c r="L936" s="34"/>
      <c r="M936" s="34"/>
      <c r="O936" s="18"/>
      <c r="P936" s="18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N936" s="3"/>
      <c r="AO936" s="3"/>
    </row>
    <row r="937" spans="1:41" ht="14.25" customHeight="1" x14ac:dyDescent="0.25">
      <c r="A937" s="3"/>
      <c r="B937" s="40"/>
      <c r="C937" s="42"/>
      <c r="E937" s="3"/>
      <c r="L937" s="34"/>
      <c r="M937" s="34"/>
      <c r="O937" s="18"/>
      <c r="P937" s="18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N937" s="3"/>
      <c r="AO937" s="3"/>
    </row>
    <row r="938" spans="1:41" ht="14.25" customHeight="1" x14ac:dyDescent="0.25">
      <c r="A938" s="3"/>
      <c r="B938" s="40"/>
      <c r="C938" s="42"/>
      <c r="E938" s="3"/>
      <c r="L938" s="34"/>
      <c r="M938" s="34"/>
      <c r="O938" s="18"/>
      <c r="P938" s="18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N938" s="3"/>
      <c r="AO938" s="3"/>
    </row>
    <row r="939" spans="1:41" ht="14.25" customHeight="1" x14ac:dyDescent="0.25">
      <c r="A939" s="3"/>
      <c r="B939" s="40"/>
      <c r="C939" s="42"/>
      <c r="E939" s="3"/>
      <c r="L939" s="34"/>
      <c r="M939" s="34"/>
      <c r="O939" s="18"/>
      <c r="P939" s="18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N939" s="3"/>
      <c r="AO939" s="3"/>
    </row>
    <row r="940" spans="1:41" ht="14.25" customHeight="1" x14ac:dyDescent="0.25">
      <c r="A940" s="3"/>
      <c r="B940" s="40"/>
      <c r="C940" s="42"/>
      <c r="E940" s="3"/>
      <c r="L940" s="34"/>
      <c r="M940" s="34"/>
      <c r="O940" s="18"/>
      <c r="P940" s="18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N940" s="3"/>
      <c r="AO940" s="3"/>
    </row>
    <row r="941" spans="1:41" ht="14.25" customHeight="1" x14ac:dyDescent="0.25">
      <c r="A941" s="3"/>
      <c r="B941" s="40"/>
      <c r="C941" s="42"/>
      <c r="E941" s="3"/>
      <c r="L941" s="34"/>
      <c r="M941" s="34"/>
      <c r="O941" s="18"/>
      <c r="P941" s="18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N941" s="3"/>
      <c r="AO941" s="3"/>
    </row>
    <row r="942" spans="1:41" ht="14.25" customHeight="1" x14ac:dyDescent="0.25">
      <c r="A942" s="3"/>
      <c r="B942" s="40"/>
      <c r="C942" s="42"/>
      <c r="E942" s="3"/>
      <c r="L942" s="34"/>
      <c r="M942" s="34"/>
      <c r="O942" s="18"/>
      <c r="P942" s="18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N942" s="3"/>
      <c r="AO942" s="3"/>
    </row>
    <row r="943" spans="1:41" ht="14.25" customHeight="1" x14ac:dyDescent="0.25">
      <c r="A943" s="3"/>
      <c r="B943" s="40"/>
      <c r="C943" s="42"/>
      <c r="E943" s="3"/>
      <c r="L943" s="34"/>
      <c r="M943" s="34"/>
      <c r="O943" s="18"/>
      <c r="P943" s="18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N943" s="3"/>
      <c r="AO943" s="3"/>
    </row>
    <row r="944" spans="1:41" ht="14.25" customHeight="1" x14ac:dyDescent="0.25">
      <c r="A944" s="3"/>
      <c r="B944" s="40"/>
      <c r="C944" s="42"/>
      <c r="E944" s="3"/>
      <c r="L944" s="34"/>
      <c r="M944" s="34"/>
      <c r="O944" s="18"/>
      <c r="P944" s="18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N944" s="3"/>
      <c r="AO944" s="3"/>
    </row>
    <row r="945" spans="1:41" ht="14.25" customHeight="1" x14ac:dyDescent="0.25">
      <c r="A945" s="3"/>
      <c r="B945" s="40"/>
      <c r="C945" s="42"/>
      <c r="E945" s="3"/>
      <c r="L945" s="34"/>
      <c r="M945" s="34"/>
      <c r="O945" s="18"/>
      <c r="P945" s="18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N945" s="3"/>
      <c r="AO945" s="3"/>
    </row>
    <row r="946" spans="1:41" ht="14.25" customHeight="1" x14ac:dyDescent="0.25">
      <c r="A946" s="3"/>
      <c r="B946" s="40"/>
      <c r="C946" s="42"/>
      <c r="E946" s="3"/>
      <c r="L946" s="34"/>
      <c r="M946" s="34"/>
      <c r="O946" s="18"/>
      <c r="P946" s="18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N946" s="3"/>
      <c r="AO946" s="3"/>
    </row>
    <row r="947" spans="1:41" ht="14.25" customHeight="1" x14ac:dyDescent="0.25">
      <c r="A947" s="3"/>
      <c r="B947" s="40"/>
      <c r="C947" s="42"/>
      <c r="E947" s="3"/>
      <c r="L947" s="34"/>
      <c r="M947" s="34"/>
      <c r="O947" s="18"/>
      <c r="P947" s="18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N947" s="3"/>
      <c r="AO947" s="3"/>
    </row>
    <row r="948" spans="1:41" ht="14.25" customHeight="1" x14ac:dyDescent="0.25">
      <c r="A948" s="3"/>
      <c r="B948" s="40"/>
      <c r="C948" s="42"/>
      <c r="E948" s="3"/>
      <c r="L948" s="34"/>
      <c r="M948" s="34"/>
      <c r="O948" s="18"/>
      <c r="P948" s="18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N948" s="3"/>
      <c r="AO948" s="3"/>
    </row>
  </sheetData>
  <autoFilter ref="A3:AV68"/>
  <mergeCells count="7">
    <mergeCell ref="Q1:AE1"/>
    <mergeCell ref="AG1:AO1"/>
    <mergeCell ref="Q2:R2"/>
    <mergeCell ref="T2:W2"/>
    <mergeCell ref="X2:AA2"/>
    <mergeCell ref="AB2:AC2"/>
    <mergeCell ref="AD2:AE2"/>
  </mergeCells>
  <dataValidations count="5">
    <dataValidation type="list" allowBlank="1" showErrorMessage="1" sqref="J14:J24 J30:J36 J26:J28 J41 J61:J66 J47:J50 J4:J12 J44:J45 J53:J59">
      <formula1>PLC_Styles</formula1>
    </dataValidation>
    <dataValidation type="list" allowBlank="1" showErrorMessage="1" sqref="K14:K24 K30:K36 K26:K28 K41 K61:K66 K47:K50 K4:K12 K44:K45 K53:K59">
      <formula1>OMAC_Reason</formula1>
    </dataValidation>
    <dataValidation type="list" allowBlank="1" showInputMessage="1" showErrorMessage="1" prompt="Incorrect Class Entered, refer to the Item Codes Tab for a Full list of the Class Codes" sqref="D61:D66 D5:D48 D50:D59">
      <formula1>ClassCodes</formula1>
    </dataValidation>
    <dataValidation type="list" allowBlank="1" showInputMessage="1" showErrorMessage="1" sqref="K13 K25 K29 K42:K43 K46 K37:K40 K51:K52">
      <formula1>OMAC_Reason</formula1>
    </dataValidation>
    <dataValidation type="list" allowBlank="1" showInputMessage="1" showErrorMessage="1" sqref="J13 J25 J29 J42:J43 J46 J37:J40 J51:J52">
      <formula1>PLC_Styles</formula1>
    </dataValidation>
  </dataValidations>
  <pageMargins left="0.70866141732283472" right="0.70866141732283472" top="0.74803149606299213" bottom="0.74803149606299213" header="0.31496062992125984" footer="0.31496062992125984"/>
  <pageSetup paperSize="9" scale="28" fitToHeight="0" orientation="portrait" r:id="rId1"/>
  <headerFooter>
    <oddHeader>&amp;C16797-Tag List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Incorrect Class Entered, refer to the Item Codes Tab for a Full list of the Class Codes">
          <x14:formula1>
            <xm:f>'Item Codes'!$A$6:$A$34</xm:f>
          </x14:formula1>
          <xm:sqref>D49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Z996"/>
  <sheetViews>
    <sheetView workbookViewId="0">
      <selection activeCell="D7" sqref="D7"/>
    </sheetView>
  </sheetViews>
  <sheetFormatPr defaultColWidth="14.42578125" defaultRowHeight="15" customHeight="1" x14ac:dyDescent="0.25"/>
  <cols>
    <col min="1" max="1" width="13.140625" customWidth="1"/>
    <col min="2" max="2" width="42.85546875" customWidth="1"/>
    <col min="3" max="3" width="31.140625" customWidth="1"/>
    <col min="4" max="4" width="15.5703125" customWidth="1"/>
    <col min="5" max="5" width="12.7109375" customWidth="1"/>
    <col min="6" max="26" width="9.140625" customWidth="1"/>
  </cols>
  <sheetData>
    <row r="1" spans="1:26" ht="12.75" customHeight="1" x14ac:dyDescent="0.25">
      <c r="A1" s="47" t="s">
        <v>29</v>
      </c>
      <c r="B1" s="21" t="s">
        <v>536</v>
      </c>
      <c r="C1" s="21"/>
      <c r="D1" s="2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5">
      <c r="A2" s="48" t="s">
        <v>192</v>
      </c>
      <c r="B2" s="48" t="s">
        <v>1</v>
      </c>
      <c r="C2" s="48" t="s">
        <v>193</v>
      </c>
      <c r="D2" s="48" t="s">
        <v>194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5">
      <c r="A3" s="49" t="s">
        <v>195</v>
      </c>
      <c r="B3" s="49" t="s">
        <v>116</v>
      </c>
      <c r="C3" s="49" t="s">
        <v>118</v>
      </c>
      <c r="D3" s="50" t="s">
        <v>523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5">
      <c r="A4" s="49" t="s">
        <v>196</v>
      </c>
      <c r="B4" s="49" t="s">
        <v>114</v>
      </c>
      <c r="C4" s="49" t="s">
        <v>114</v>
      </c>
      <c r="D4" s="50" t="s">
        <v>535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5">
      <c r="A5" s="49" t="s">
        <v>524</v>
      </c>
      <c r="B5" s="49" t="s">
        <v>524</v>
      </c>
      <c r="C5" s="49" t="s">
        <v>525</v>
      </c>
      <c r="D5" s="50" t="s">
        <v>526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5">
      <c r="A6" s="49" t="s">
        <v>527</v>
      </c>
      <c r="B6" s="49" t="s">
        <v>527</v>
      </c>
      <c r="C6" s="49" t="s">
        <v>528</v>
      </c>
      <c r="D6" s="50" t="s">
        <v>529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5">
      <c r="A7" s="49" t="s">
        <v>530</v>
      </c>
      <c r="B7" s="49" t="s">
        <v>530</v>
      </c>
      <c r="C7" s="49" t="s">
        <v>531</v>
      </c>
      <c r="D7" s="50" t="s">
        <v>532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5">
      <c r="A8" s="49" t="s">
        <v>200</v>
      </c>
      <c r="B8" s="49" t="s">
        <v>533</v>
      </c>
      <c r="C8" s="49" t="s">
        <v>188</v>
      </c>
      <c r="D8" s="50" t="s">
        <v>534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5">
      <c r="A10" s="47" t="s">
        <v>29</v>
      </c>
      <c r="B10" s="21" t="s">
        <v>537</v>
      </c>
      <c r="C10" s="21"/>
      <c r="D10" s="2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5">
      <c r="A11" s="48" t="s">
        <v>192</v>
      </c>
      <c r="B11" s="48" t="s">
        <v>1</v>
      </c>
      <c r="C11" s="48" t="s">
        <v>193</v>
      </c>
      <c r="D11" s="48" t="s">
        <v>547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5">
      <c r="A12" s="49" t="s">
        <v>195</v>
      </c>
      <c r="B12" s="49" t="s">
        <v>116</v>
      </c>
      <c r="C12" s="49" t="s">
        <v>118</v>
      </c>
      <c r="D12" s="50">
        <v>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5">
      <c r="A13" s="49" t="s">
        <v>199</v>
      </c>
      <c r="B13" s="49" t="s">
        <v>538</v>
      </c>
      <c r="C13" s="49"/>
      <c r="D13" s="50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5">
      <c r="A14" s="49" t="s">
        <v>539</v>
      </c>
      <c r="B14" s="49" t="s">
        <v>540</v>
      </c>
      <c r="C14" s="49"/>
      <c r="D14" s="50">
        <v>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5">
      <c r="A15" s="49" t="s">
        <v>541</v>
      </c>
      <c r="B15" s="49" t="s">
        <v>542</v>
      </c>
      <c r="C15" s="49"/>
      <c r="D15" s="50">
        <v>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5">
      <c r="A16" s="49" t="s">
        <v>543</v>
      </c>
      <c r="B16" s="49" t="s">
        <v>544</v>
      </c>
      <c r="C16" s="49"/>
      <c r="D16" s="50">
        <v>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5">
      <c r="A17" s="49" t="s">
        <v>545</v>
      </c>
      <c r="B17" s="49" t="s">
        <v>546</v>
      </c>
      <c r="C17" s="49"/>
      <c r="D17" s="50">
        <v>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pageMargins left="0.7" right="0.7" top="0.75" bottom="0.75" header="0" footer="0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pageSetUpPr fitToPage="1"/>
  </sheetPr>
  <dimension ref="A1:Y941"/>
  <sheetViews>
    <sheetView topLeftCell="A38" zoomScaleNormal="100" workbookViewId="0">
      <selection activeCell="I53" sqref="I53"/>
    </sheetView>
  </sheetViews>
  <sheetFormatPr defaultColWidth="14.42578125" defaultRowHeight="15" customHeight="1" x14ac:dyDescent="0.25"/>
  <cols>
    <col min="1" max="1" width="15" customWidth="1"/>
    <col min="2" max="2" width="9.28515625" customWidth="1"/>
    <col min="3" max="3" width="20.28515625" customWidth="1"/>
    <col min="4" max="4" width="13.28515625" customWidth="1"/>
    <col min="5" max="5" width="43.140625" customWidth="1"/>
    <col min="6" max="7" width="9.140625" customWidth="1"/>
    <col min="8" max="8" width="9.85546875" customWidth="1"/>
    <col min="9" max="25" width="9.140625" customWidth="1"/>
  </cols>
  <sheetData>
    <row r="1" spans="1:25" ht="12.75" customHeight="1" x14ac:dyDescent="0.25">
      <c r="A1" s="15" t="str">
        <f>RIGHT(Title!B31,5)</f>
        <v>16797</v>
      </c>
      <c r="B1" s="21" t="str">
        <f>(VLOOKUP(LEFT(B2,8),EquipmentList,8,FALSE))</f>
        <v>ether CAT Coupler</v>
      </c>
      <c r="C1" s="21"/>
      <c r="D1" s="21"/>
      <c r="E1" s="1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2.75" customHeight="1" x14ac:dyDescent="0.25">
      <c r="A2" s="51" t="s">
        <v>192</v>
      </c>
      <c r="B2" s="151" t="s">
        <v>197</v>
      </c>
      <c r="C2" s="143"/>
      <c r="D2" s="143"/>
      <c r="E2" s="14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2.75" customHeight="1" x14ac:dyDescent="0.25">
      <c r="A3" s="51" t="s">
        <v>193</v>
      </c>
      <c r="B3" s="151" t="s">
        <v>120</v>
      </c>
      <c r="C3" s="143"/>
      <c r="D3" s="143"/>
      <c r="E3" s="14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2.75" customHeight="1" x14ac:dyDescent="0.25">
      <c r="A4" s="51" t="s">
        <v>201</v>
      </c>
      <c r="B4" s="151" t="s">
        <v>197</v>
      </c>
      <c r="C4" s="143"/>
      <c r="D4" s="143"/>
      <c r="E4" s="14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2.75" customHeight="1" x14ac:dyDescent="0.25">
      <c r="A5" s="51" t="s">
        <v>202</v>
      </c>
      <c r="B5" s="151" t="s">
        <v>120</v>
      </c>
      <c r="C5" s="143"/>
      <c r="D5" s="143"/>
      <c r="E5" s="14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2.75" customHeight="1" x14ac:dyDescent="0.25">
      <c r="A6" s="51" t="s">
        <v>194</v>
      </c>
      <c r="B6" s="151" t="s">
        <v>198</v>
      </c>
      <c r="C6" s="143"/>
      <c r="D6" s="143"/>
      <c r="E6" s="14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5.25" customHeight="1" x14ac:dyDescent="0.25">
      <c r="A7" s="52"/>
      <c r="B7" s="53"/>
      <c r="C7" s="53"/>
      <c r="D7" s="54"/>
      <c r="E7" s="5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2.75" customHeight="1" x14ac:dyDescent="0.25">
      <c r="A8" s="48" t="s">
        <v>203</v>
      </c>
      <c r="B8" s="48" t="s">
        <v>204</v>
      </c>
      <c r="C8" s="48" t="s">
        <v>205</v>
      </c>
      <c r="D8" s="48" t="s">
        <v>82</v>
      </c>
      <c r="E8" s="48" t="s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2.75" customHeight="1" x14ac:dyDescent="0.25">
      <c r="A9" s="148" t="s">
        <v>206</v>
      </c>
      <c r="B9" s="143"/>
      <c r="C9" s="143"/>
      <c r="D9" s="143"/>
      <c r="E9" s="14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2.75" customHeight="1" x14ac:dyDescent="0.25">
      <c r="A10" s="57" t="s">
        <v>213</v>
      </c>
      <c r="B10" s="58"/>
      <c r="C10" s="59"/>
      <c r="D10" s="60"/>
      <c r="E10" s="6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2.75" customHeight="1" x14ac:dyDescent="0.25">
      <c r="A11" s="49" t="s">
        <v>639</v>
      </c>
      <c r="B11" s="50">
        <v>0</v>
      </c>
      <c r="C11" s="56" t="str">
        <f>A11&amp;B11</f>
        <v>XC0301:1:I.0</v>
      </c>
      <c r="D11" s="115" t="s">
        <v>214</v>
      </c>
      <c r="E11" s="49" t="str">
        <f>IF(ISBLANK(D11),"Spare",(VLOOKUP(IF(ISERROR(FIND("_",D11)-1)=TRUE,(LEFT(D11,6)),LEFT(D11,(FIND("_",D11)-1))),EquipmentList,8,FALSE))&amp;IF(RIGHT(D11,2)="_E"," Extend Reed","")&amp;IF(RIGHT(D11,2)="_R"," Retract Reed","")&amp;IF(RIGHT(D11,3)="_EX"," Extend Solenoid","")&amp;IF(RIGHT(D11,3)="_RT"," Retract Solenoid","")&amp;IF(RIGHT(D11,3)="_FB"," Feedback","")&amp;IF(RIGHT(D11,4)="_FWD"," Forward","")&amp;IF(RIGHT(D11,4)="_REV"," Reverse","")&amp;IF(RIGHT(D11,4)="_CH1"," Channel 1","")&amp;IF(RIGHT(D11,4)="_CH2"," Channel 2","")&amp;IF(RIGHT(D11,4)="_EN1"," Enable 1","")&amp;IF(RIGHT(D11,4)="_EN2"," Enable 2","")&amp;IF(RIGHT(D11,3)="_E1"," Extend Reed 1","")&amp;IF(RIGHT(D11,3)="_E2"," Extend Reed 2","")&amp;IF(RIGHT(D11,3)="_R1"," Retract Reed 1","")&amp;IF(RIGHT(D11,3)="_R2"," Retract Reed 2","")&amp;IF(RIGHT(D11,4)="_RES"," Reset","")&amp;IF(RIGHT(D11,4)="_SP2"," Speed 2","")&amp;IF(RIGHT(D11,3)="_E3"," Extend Reed 3","")&amp;IF(RIGHT(D11,3)="_E4"," Extend Reed 4","")&amp;IF(RIGHT(D11,3)="_R3"," Retract Reed 3","")&amp;IF(RIGHT(D11,3)="_R4"," Retract Reed 4","")&amp;IF(RIGHT(D11,2)="_L"," Lock",""))</f>
        <v>Down Stream Ready (Mulitvac Machine Ready)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2.75" customHeight="1" x14ac:dyDescent="0.25">
      <c r="A12" s="49" t="s">
        <v>639</v>
      </c>
      <c r="B12" s="50">
        <v>1</v>
      </c>
      <c r="C12" s="56" t="str">
        <f t="shared" ref="C12:C26" si="0">A12&amp;B12</f>
        <v>XC0301:1:I.1</v>
      </c>
      <c r="D12" s="115" t="s">
        <v>585</v>
      </c>
      <c r="E12" s="49" t="str">
        <f t="shared" ref="E12:E25" si="1">IF(ISBLANK(D12),"Spare",(VLOOKUP(IF(ISERROR(FIND("_",D12)-1)=TRUE,(LEFT(D12,6)),LEFT(D12,(FIND("_",D12)-1))),EquipmentList,8,FALSE))&amp;IF(RIGHT(D12,2)="_E"," Extend Reed","")&amp;IF(RIGHT(D12,2)="_R"," Retract Reed","")&amp;IF(RIGHT(D12,3)="_EX"," Extend Solenoid","")&amp;IF(RIGHT(D12,3)="_RT"," Retract Solenoid","")&amp;IF(RIGHT(D12,3)="_FB"," Feedback","")&amp;IF(RIGHT(D12,4)="_FWD"," Forward","")&amp;IF(RIGHT(D12,4)="_REV"," Reverse","")&amp;IF(RIGHT(D12,4)="_CH1"," Channel 1","")&amp;IF(RIGHT(D12,4)="_CH2"," Channel 2","")&amp;IF(RIGHT(D12,4)="_EN1"," Enable 1","")&amp;IF(RIGHT(D12,4)="_EN2"," Enable 2","")&amp;IF(RIGHT(D12,3)="_E1"," Extend Reed 1","")&amp;IF(RIGHT(D12,3)="_E2"," Extend Reed 2","")&amp;IF(RIGHT(D12,3)="_R1"," Retract Reed 1","")&amp;IF(RIGHT(D12,3)="_R2"," Retract Reed 2","")&amp;IF(RIGHT(D12,4)="_RES"," Reset","")&amp;IF(RIGHT(D12,4)="_SP2"," Speed 2","")&amp;IF(RIGHT(D12,3)="_E3"," Extend Reed 3","")&amp;IF(RIGHT(D12,3)="_E4"," Extend Reed 4","")&amp;IF(RIGHT(D12,3)="_R3"," Retract Reed 3","")&amp;IF(RIGHT(D12,3)="_R4"," Retract Reed 4","")&amp;IF(RIGHT(D12,2)="_L"," Lock",""))</f>
        <v>Multivac Conveyor Index Signal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2.75" customHeight="1" x14ac:dyDescent="0.25">
      <c r="A13" s="49" t="s">
        <v>639</v>
      </c>
      <c r="B13" s="50">
        <v>2</v>
      </c>
      <c r="C13" s="56" t="str">
        <f t="shared" si="0"/>
        <v>XC0301:1:I.2</v>
      </c>
      <c r="D13" s="116" t="s">
        <v>215</v>
      </c>
      <c r="E13" s="49" t="str">
        <f t="shared" si="1"/>
        <v>Presure Switch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2.75" customHeight="1" x14ac:dyDescent="0.25">
      <c r="A14" s="49" t="s">
        <v>639</v>
      </c>
      <c r="B14" s="50">
        <v>3</v>
      </c>
      <c r="C14" s="56" t="str">
        <f t="shared" si="0"/>
        <v>XC0301:1:I.3</v>
      </c>
      <c r="D14" s="118" t="s">
        <v>599</v>
      </c>
      <c r="E14" s="49" t="str">
        <f t="shared" si="1"/>
        <v>Operator Control Panel E-Stop Feedback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2.75" customHeight="1" x14ac:dyDescent="0.25">
      <c r="A15" s="49" t="s">
        <v>639</v>
      </c>
      <c r="B15" s="50">
        <v>4</v>
      </c>
      <c r="C15" s="56" t="str">
        <f t="shared" si="0"/>
        <v>XC0301:1:I.4</v>
      </c>
      <c r="D15" s="118" t="s">
        <v>600</v>
      </c>
      <c r="E15" s="49" t="str">
        <f t="shared" si="1"/>
        <v>Control Panel E-Stop Feedback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2.75" customHeight="1" x14ac:dyDescent="0.25">
      <c r="A16" s="49" t="s">
        <v>639</v>
      </c>
      <c r="B16" s="50">
        <v>5</v>
      </c>
      <c r="C16" s="56" t="str">
        <f t="shared" si="0"/>
        <v>XC0301:1:I.5</v>
      </c>
      <c r="D16" s="118" t="s">
        <v>601</v>
      </c>
      <c r="E16" s="49" t="str">
        <f>IF(ISBLANK(D16),"Spare",(VLOOKUP(IF(ISERROR(FIND("_",D16)-1)=TRUE,(LEFT(D16,6)),LEFT(D16,(FIND("_",D16)-1))),EquipmentList,8,FALSE))&amp;IF(RIGHT(D16,2)="_E"," Extend Reed","")&amp;IF(RIGHT(D16,2)="_R"," Retract Reed","")&amp;IF(RIGHT(D16,3)="_EX"," Extend Solenoid","")&amp;IF(RIGHT(D16,3)="_RT"," Retract Solenoid","")&amp;IF(RIGHT(D16,3)="_FB"," Feedback","")&amp;IF(RIGHT(D16,4)="_FWD"," Forward","")&amp;IF(RIGHT(D16,4)="_REV"," Reverse","")&amp;IF(RIGHT(D16,4)="_CH1"," Channel 1","")&amp;IF(RIGHT(D16,4)="_CH2"," Channel 2","")&amp;IF(RIGHT(D16,4)="_EN1"," Enable 1","")&amp;IF(RIGHT(D16,4)="_EN2"," Enable 2","")&amp;IF(RIGHT(D16,3)="_E1"," Extend Reed 1","")&amp;IF(RIGHT(D16,3)="_E2"," Extend Reed 2","")&amp;IF(RIGHT(D16,3)="_R1"," Retract Reed 1","")&amp;IF(RIGHT(D16,3)="_R2"," Retract Reed 2","")&amp;IF(RIGHT(D16,4)="_RES"," Reset","")&amp;IF(RIGHT(D16,4)="_SP2"," Speed 2","")&amp;IF(RIGHT(D16,3)="_E3"," Extend Reed 3","")&amp;IF(RIGHT(D16,3)="_E4"," Extend Reed 4","")&amp;IF(RIGHT(D16,3)="_R3"," Retract Reed 3","")&amp;IF(RIGHT(D16,3)="_R4"," Retract Reed 4","")&amp;IF(RIGHT(D16,2)="_L"," Lock",""))</f>
        <v>Chasiss E-Stop Feedback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2.75" customHeight="1" x14ac:dyDescent="0.25">
      <c r="A17" s="49" t="s">
        <v>639</v>
      </c>
      <c r="B17" s="50">
        <v>6</v>
      </c>
      <c r="C17" s="56" t="str">
        <f t="shared" si="0"/>
        <v>XC0301:1:I.6</v>
      </c>
      <c r="D17" s="118" t="s">
        <v>616</v>
      </c>
      <c r="E17" s="49" t="str">
        <f t="shared" si="1"/>
        <v>Pendent E-Stop Feedback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2.75" customHeight="1" x14ac:dyDescent="0.25">
      <c r="A18" s="49" t="s">
        <v>639</v>
      </c>
      <c r="B18" s="50">
        <v>7</v>
      </c>
      <c r="C18" s="56" t="str">
        <f t="shared" si="0"/>
        <v>XC0301:1:I.7</v>
      </c>
      <c r="D18" s="118" t="s">
        <v>602</v>
      </c>
      <c r="E18" s="49" t="str">
        <f t="shared" si="1"/>
        <v>Guard Door 1 Feedback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2.75" customHeight="1" x14ac:dyDescent="0.25">
      <c r="A19" s="49" t="s">
        <v>639</v>
      </c>
      <c r="B19" s="50">
        <v>8</v>
      </c>
      <c r="C19" s="56" t="str">
        <f t="shared" si="0"/>
        <v>XC0301:1:I.8</v>
      </c>
      <c r="D19" s="118" t="s">
        <v>603</v>
      </c>
      <c r="E19" s="49" t="str">
        <f t="shared" si="1"/>
        <v>Guard Door 2 Feedback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2.75" customHeight="1" x14ac:dyDescent="0.25">
      <c r="A20" s="49" t="s">
        <v>639</v>
      </c>
      <c r="B20" s="50">
        <v>9</v>
      </c>
      <c r="C20" s="56" t="str">
        <f t="shared" si="0"/>
        <v>XC0301:1:I.9</v>
      </c>
      <c r="D20" s="118" t="s">
        <v>604</v>
      </c>
      <c r="E20" s="49" t="str">
        <f t="shared" si="1"/>
        <v>Guard Door 3 Feedback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2.75" customHeight="1" x14ac:dyDescent="0.25">
      <c r="A21" s="49" t="s">
        <v>639</v>
      </c>
      <c r="B21" s="50">
        <v>10</v>
      </c>
      <c r="C21" s="56" t="str">
        <f t="shared" si="0"/>
        <v>XC0301:1:I.10</v>
      </c>
      <c r="D21" s="118" t="s">
        <v>605</v>
      </c>
      <c r="E21" s="49" t="str">
        <f t="shared" si="1"/>
        <v>Guard Door 4 Feedback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2.75" customHeight="1" x14ac:dyDescent="0.25">
      <c r="A22" s="49" t="s">
        <v>639</v>
      </c>
      <c r="B22" s="50">
        <v>11</v>
      </c>
      <c r="C22" s="56" t="str">
        <f t="shared" si="0"/>
        <v>XC0301:1:I.11</v>
      </c>
      <c r="D22" s="117"/>
      <c r="E22" s="49" t="str">
        <f t="shared" si="1"/>
        <v>Spare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2.75" customHeight="1" x14ac:dyDescent="0.25">
      <c r="A23" s="49" t="s">
        <v>639</v>
      </c>
      <c r="B23" s="50">
        <v>12</v>
      </c>
      <c r="C23" s="56" t="str">
        <f t="shared" si="0"/>
        <v>XC0301:1:I.12</v>
      </c>
      <c r="D23" s="117" t="s">
        <v>593</v>
      </c>
      <c r="E23" s="49" t="str">
        <f t="shared" si="1"/>
        <v>Collation Bin Full Detect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2.75" customHeight="1" x14ac:dyDescent="0.25">
      <c r="A24" s="49" t="s">
        <v>639</v>
      </c>
      <c r="B24" s="50">
        <v>13</v>
      </c>
      <c r="C24" s="56" t="str">
        <f t="shared" si="0"/>
        <v>XC0301:1:I.13</v>
      </c>
      <c r="D24" s="117"/>
      <c r="E24" s="49" t="str">
        <f t="shared" si="1"/>
        <v>Spare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2.75" customHeight="1" x14ac:dyDescent="0.25">
      <c r="A25" s="49" t="s">
        <v>639</v>
      </c>
      <c r="B25" s="50">
        <v>14</v>
      </c>
      <c r="C25" s="56" t="str">
        <f t="shared" si="0"/>
        <v>XC0301:1:I.14</v>
      </c>
      <c r="D25" s="117" t="s">
        <v>594</v>
      </c>
      <c r="E25" s="49" t="str">
        <f t="shared" si="1"/>
        <v>Pickhead Eye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2.75" customHeight="1" x14ac:dyDescent="0.25">
      <c r="A26" s="49" t="s">
        <v>639</v>
      </c>
      <c r="B26" s="50">
        <v>15</v>
      </c>
      <c r="C26" s="56" t="str">
        <f t="shared" si="0"/>
        <v>XC0301:1:I.15</v>
      </c>
      <c r="D26" s="117" t="s">
        <v>595</v>
      </c>
      <c r="E26" s="49" t="str">
        <f>IF(ISBLANK(D26),"Spare",(VLOOKUP(IF(ISERROR(FIND("_",D26)-1)=TRUE,(LEFT(D26,6)),LEFT(D26,(FIND("_",D26)-1))),EquipmentList,8,FALSE))&amp;IF(RIGHT(D26,2)="_E"," Extend Reed","")&amp;IF(RIGHT(D26,2)="_R"," Retract Reed","")&amp;IF(RIGHT(D26,3)="_EX"," Extend Solenoid","")&amp;IF(RIGHT(D26,3)="_RT"," Retract Solenoid","")&amp;IF(RIGHT(D26,3)="_FB"," Feedback","")&amp;IF(RIGHT(D26,4)="_FWD"," Forward","")&amp;IF(RIGHT(D26,4)="_REV"," Reverse","")&amp;IF(RIGHT(D26,4)="_CH1"," Channel 1","")&amp;IF(RIGHT(D26,4)="_CH2"," Channel 2","")&amp;IF(RIGHT(D26,4)="_EN1"," Enable 1","")&amp;IF(RIGHT(D26,4)="_EN2"," Enable 2","")&amp;IF(RIGHT(D26,3)="_E1"," Extend Reed 1","")&amp;IF(RIGHT(D26,3)="_E2"," Extend Reed 2","")&amp;IF(RIGHT(D26,3)="_R1"," Retract Reed 1","")&amp;IF(RIGHT(D26,3)="_R2"," Retract Reed 2","")&amp;IF(RIGHT(D26,4)="_RES"," Reset","")&amp;IF(RIGHT(D26,4)="_SP2"," Speed 2","")&amp;IF(RIGHT(D26,3)="_E3"," Extend Reed 3","")&amp;IF(RIGHT(D26,3)="_E4"," Extend Reed 4","")&amp;IF(RIGHT(D26,3)="_R3"," Retract Reed 3","")&amp;IF(RIGHT(D26,3)="_R4"," Retract Reed 4","")&amp;IF(RIGHT(D26,2)="_L"," Lock",""))</f>
        <v>Cavity presence Detect 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2.75" customHeight="1" x14ac:dyDescent="0.25">
      <c r="A27" s="57" t="s">
        <v>213</v>
      </c>
      <c r="B27" s="58"/>
      <c r="C27" s="59"/>
      <c r="D27" s="59"/>
      <c r="E27" s="59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2.75" customHeight="1" x14ac:dyDescent="0.25">
      <c r="A28" s="49" t="s">
        <v>640</v>
      </c>
      <c r="B28" s="50">
        <v>0</v>
      </c>
      <c r="C28" s="56" t="str">
        <f t="shared" ref="C28:C43" si="2">A28&amp;B28</f>
        <v>XC0301:2:I.0</v>
      </c>
      <c r="D28" s="117" t="s">
        <v>596</v>
      </c>
      <c r="E28" s="49" t="str">
        <f>IF(ISBLANK(D28),"Spare",(VLOOKUP(IF(ISERROR(FIND("_",D28)-1)=TRUE,(LEFT(D28,6)),LEFT(D28,(FIND("_",D28)-1))),EquipmentList,8,FALSE))&amp;IF(RIGHT(D28,2)="_E"," Extend Reed","")&amp;IF(RIGHT(D28,2)="_R"," Retract Reed","")&amp;IF(RIGHT(D28,3)="_EX"," Extend Solenoid","")&amp;IF(RIGHT(D28,3)="_RT"," Retract Solenoid","")&amp;IF(RIGHT(D28,3)="_FB"," Feedback","")&amp;IF(RIGHT(D28,4)="_FWD"," Forward","")&amp;IF(RIGHT(D28,4)="_REV"," Reverse","")&amp;IF(RIGHT(D28,4)="_CH1"," Channel 1","")&amp;IF(RIGHT(D28,4)="_CH2"," Channel 2","")&amp;IF(RIGHT(D28,4)="_EN1"," Enable 1","")&amp;IF(RIGHT(D28,4)="_EN2"," Enable 2","")&amp;IF(RIGHT(D28,3)="_E1"," Extend Reed 1","")&amp;IF(RIGHT(D28,3)="_E2"," Extend Reed 2","")&amp;IF(RIGHT(D28,3)="_R1"," Retract Reed 1","")&amp;IF(RIGHT(D28,3)="_R2"," Retract Reed 2","")&amp;IF(RIGHT(D28,4)="_RES"," Reset","")&amp;IF(RIGHT(D28,4)="_SP2"," Speed 2","")&amp;IF(RIGHT(D28,3)="_E3"," Extend Reed 3","")&amp;IF(RIGHT(D28,3)="_E4"," Extend Reed 4","")&amp;IF(RIGHT(D28,3)="_R3"," Retract Reed 3","")&amp;IF(RIGHT(D28,3)="_R4"," Retract Reed 4","")&amp;IF(RIGHT(D28,2)="_L"," Lock",""))</f>
        <v>Cavity presence Detect 2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2.75" customHeight="1" x14ac:dyDescent="0.25">
      <c r="A29" s="49" t="s">
        <v>640</v>
      </c>
      <c r="B29" s="50">
        <v>1</v>
      </c>
      <c r="C29" s="56" t="str">
        <f t="shared" si="2"/>
        <v>XC0301:2:I.1</v>
      </c>
      <c r="D29" s="117" t="s">
        <v>597</v>
      </c>
      <c r="E29" s="49" t="str">
        <f>IF(ISBLANK(D29),"Spare",(VLOOKUP(IF(ISERROR(FIND("_",D29)-1)=TRUE,(LEFT(D29,6)),LEFT(D29,(FIND("_",D29)-1))),EquipmentList,8,FALSE))&amp;IF(RIGHT(D29,2)="_E"," Extend Reed","")&amp;IF(RIGHT(D29,2)="_R"," Retract Reed","")&amp;IF(RIGHT(D29,3)="_EX"," Extend Solenoid","")&amp;IF(RIGHT(D29,3)="_RT"," Retract Solenoid","")&amp;IF(RIGHT(D29,3)="_FB"," Feedback","")&amp;IF(RIGHT(D29,4)="_FWD"," Forward","")&amp;IF(RIGHT(D29,4)="_REV"," Reverse","")&amp;IF(RIGHT(D29,4)="_CH1"," Channel 1","")&amp;IF(RIGHT(D29,4)="_CH2"," Channel 2","")&amp;IF(RIGHT(D29,4)="_EN1"," Enable 1","")&amp;IF(RIGHT(D29,4)="_EN2"," Enable 2","")&amp;IF(RIGHT(D29,3)="_E1"," Extend Reed 1","")&amp;IF(RIGHT(D29,3)="_E2"," Extend Reed 2","")&amp;IF(RIGHT(D29,3)="_R1"," Retract Reed 1","")&amp;IF(RIGHT(D29,3)="_R2"," Retract Reed 2","")&amp;IF(RIGHT(D29,4)="_RES"," Reset","")&amp;IF(RIGHT(D29,4)="_SP2"," Speed 2","")&amp;IF(RIGHT(D29,3)="_E3"," Extend Reed 3","")&amp;IF(RIGHT(D29,3)="_E4"," Extend Reed 4","")&amp;IF(RIGHT(D29,3)="_R3"," Retract Reed 3","")&amp;IF(RIGHT(D29,3)="_R4"," Retract Reed 4","")&amp;IF(RIGHT(D29,2)="_L"," Lock",""))</f>
        <v>Cavity presence Detect 3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2.75" customHeight="1" x14ac:dyDescent="0.25">
      <c r="A30" s="49" t="s">
        <v>640</v>
      </c>
      <c r="B30" s="50">
        <v>2</v>
      </c>
      <c r="C30" s="56" t="str">
        <f t="shared" si="2"/>
        <v>XC0301:2:I.2</v>
      </c>
      <c r="D30" s="117" t="s">
        <v>598</v>
      </c>
      <c r="E30" s="49" t="str">
        <f t="shared" ref="E30:E43" si="3">IF(ISBLANK(D30),"Spare",(VLOOKUP(IF(ISERROR(FIND("_",D30)-1)=TRUE,(LEFT(D30,6)),LEFT(D30,(FIND("_",D30)-1))),EquipmentList,8,FALSE))&amp;IF(RIGHT(D30,2)="_E"," Extend Reed","")&amp;IF(RIGHT(D30,2)="_R"," Retract Reed","")&amp;IF(RIGHT(D30,3)="_EX"," Extend Solenoid","")&amp;IF(RIGHT(D30,3)="_RT"," Retract Solenoid","")&amp;IF(RIGHT(D30,3)="_FB"," Feedback","")&amp;IF(RIGHT(D30,4)="_FWD"," Forward","")&amp;IF(RIGHT(D30,4)="_REV"," Reverse","")&amp;IF(RIGHT(D30,4)="_CH1"," Channel 1","")&amp;IF(RIGHT(D30,4)="_CH2"," Channel 2","")&amp;IF(RIGHT(D30,4)="_EN1"," Enable 1","")&amp;IF(RIGHT(D30,4)="_EN2"," Enable 2","")&amp;IF(RIGHT(D30,3)="_E1"," Extend Reed 1","")&amp;IF(RIGHT(D30,3)="_E2"," Extend Reed 2","")&amp;IF(RIGHT(D30,3)="_R1"," Retract Reed 1","")&amp;IF(RIGHT(D30,3)="_R2"," Retract Reed 2","")&amp;IF(RIGHT(D30,4)="_RES"," Reset","")&amp;IF(RIGHT(D30,4)="_SP2"," Speed 2","")&amp;IF(RIGHT(D30,3)="_E3"," Extend Reed 3","")&amp;IF(RIGHT(D30,3)="_E4"," Extend Reed 4","")&amp;IF(RIGHT(D30,3)="_R3"," Retract Reed 3","")&amp;IF(RIGHT(D30,3)="_R4"," Retract Reed 4","")&amp;IF(RIGHT(D30,2)="_L"," Lock",""))</f>
        <v>Product height Check detect optic Fibre sensor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2.75" customHeight="1" x14ac:dyDescent="0.25">
      <c r="A31" s="49" t="s">
        <v>640</v>
      </c>
      <c r="B31" s="50">
        <v>3</v>
      </c>
      <c r="C31" s="56" t="str">
        <f t="shared" si="2"/>
        <v>XC0301:2:I.3</v>
      </c>
      <c r="D31" s="119" t="s">
        <v>606</v>
      </c>
      <c r="E31" s="49" t="str">
        <f>IF(ISBLANK(D31),"Spare",(VLOOKUP(IF(ISERROR(FIND("_",D31)-1)=TRUE,(LEFT(D31,6)),LEFT(D31,(FIND("_",D31)-1))),EquipmentList,8,FALSE))&amp;IF(RIGHT(D31,2)="_E"," Extend Reed","")&amp;IF(RIGHT(D31,2)="_R"," Retract Reed","")&amp;IF(RIGHT(D31,3)="_EX"," Extend Solenoid","")&amp;IF(RIGHT(D31,3)="_RT"," Retract Solenoid","")&amp;IF(RIGHT(D31,3)="_FB"," Feedback","")&amp;IF(RIGHT(D31,4)="_FWD"," Forward","")&amp;IF(RIGHT(D31,4)="_REV"," Reverse","")&amp;IF(RIGHT(D31,4)="_CH1"," Channel 1","")&amp;IF(RIGHT(D31,4)="_CH2"," Channel 2","")&amp;IF(RIGHT(D31,4)="_EN1"," Enable 1","")&amp;IF(RIGHT(D31,4)="_EN2"," Enable 2","")&amp;IF(RIGHT(D31,3)="_E1"," Extend Reed 1","")&amp;IF(RIGHT(D31,3)="_E2"," Extend Reed 2","")&amp;IF(RIGHT(D31,3)="_R1"," Retract Reed 1","")&amp;IF(RIGHT(D31,3)="_R2"," Retract Reed 2","")&amp;IF(RIGHT(D31,4)="_RES"," Reset","")&amp;IF(RIGHT(D31,4)="_SP2"," Speed 2","")&amp;IF(RIGHT(D31,3)="_E3"," Extend Reed 3","")&amp;IF(RIGHT(D31,3)="_E4"," Extend Reed 4","")&amp;IF(RIGHT(D31,3)="_R3"," Retract Reed 3","")&amp;IF(RIGHT(D31,3)="_R4"," Retract Reed 4","")&amp;IF(RIGHT(D31,2)="_L"," Lock",""))</f>
        <v>Pickhead Cyl 1 Extend Reed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2.75" customHeight="1" x14ac:dyDescent="0.25">
      <c r="A32" s="49" t="s">
        <v>640</v>
      </c>
      <c r="B32" s="50">
        <v>4</v>
      </c>
      <c r="C32" s="56" t="str">
        <f t="shared" si="2"/>
        <v>XC0301:2:I.4</v>
      </c>
      <c r="D32" s="119" t="s">
        <v>607</v>
      </c>
      <c r="E32" s="49" t="str">
        <f t="shared" si="3"/>
        <v>Pickhead Cyl 1 Retract Reed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2.75" customHeight="1" x14ac:dyDescent="0.25">
      <c r="A33" s="49" t="s">
        <v>640</v>
      </c>
      <c r="B33" s="50">
        <v>5</v>
      </c>
      <c r="C33" s="56" t="str">
        <f t="shared" si="2"/>
        <v>XC0301:2:I.5</v>
      </c>
      <c r="D33" s="119" t="s">
        <v>608</v>
      </c>
      <c r="E33" s="49" t="str">
        <f t="shared" si="3"/>
        <v>Pickhead Cyl 2 Extend Reed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2.75" customHeight="1" x14ac:dyDescent="0.25">
      <c r="A34" s="49" t="s">
        <v>640</v>
      </c>
      <c r="B34" s="50">
        <v>6</v>
      </c>
      <c r="C34" s="56" t="str">
        <f t="shared" si="2"/>
        <v>XC0301:2:I.6</v>
      </c>
      <c r="D34" s="119" t="s">
        <v>609</v>
      </c>
      <c r="E34" s="49" t="str">
        <f t="shared" si="3"/>
        <v>Pickhead Cyl 2 Retract Reed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2.75" customHeight="1" x14ac:dyDescent="0.25">
      <c r="A35" s="49" t="s">
        <v>640</v>
      </c>
      <c r="B35" s="50">
        <v>7</v>
      </c>
      <c r="C35" s="56" t="str">
        <f t="shared" si="2"/>
        <v>XC0301:2:I.7</v>
      </c>
      <c r="D35" s="119"/>
      <c r="E35" s="49" t="str">
        <f t="shared" si="3"/>
        <v>Spare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2.75" customHeight="1" x14ac:dyDescent="0.25">
      <c r="A36" s="49" t="s">
        <v>640</v>
      </c>
      <c r="B36" s="50">
        <v>8</v>
      </c>
      <c r="C36" s="56" t="str">
        <f t="shared" si="2"/>
        <v>XC0301:2:I.8</v>
      </c>
      <c r="D36" s="119"/>
      <c r="E36" s="49" t="str">
        <f t="shared" si="3"/>
        <v>Spare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2.75" customHeight="1" x14ac:dyDescent="0.25">
      <c r="A37" s="49" t="s">
        <v>640</v>
      </c>
      <c r="B37" s="50">
        <v>9</v>
      </c>
      <c r="C37" s="56" t="str">
        <f t="shared" si="2"/>
        <v>XC0301:2:I.9</v>
      </c>
      <c r="D37" s="62"/>
      <c r="E37" s="49" t="str">
        <f t="shared" si="3"/>
        <v>Spare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2.75" customHeight="1" x14ac:dyDescent="0.25">
      <c r="A38" s="49" t="s">
        <v>640</v>
      </c>
      <c r="B38" s="50">
        <v>10</v>
      </c>
      <c r="C38" s="56" t="str">
        <f t="shared" si="2"/>
        <v>XC0301:2:I.10</v>
      </c>
      <c r="D38" s="133"/>
      <c r="E38" s="49" t="str">
        <f t="shared" si="3"/>
        <v>Spare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2.75" customHeight="1" x14ac:dyDescent="0.25">
      <c r="A39" s="49" t="s">
        <v>640</v>
      </c>
      <c r="B39" s="50">
        <v>11</v>
      </c>
      <c r="C39" s="56" t="str">
        <f t="shared" si="2"/>
        <v>XC0301:2:I.11</v>
      </c>
      <c r="D39" s="133"/>
      <c r="E39" s="49" t="str">
        <f t="shared" si="3"/>
        <v>Spare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2.75" customHeight="1" x14ac:dyDescent="0.25">
      <c r="A40" s="49" t="s">
        <v>640</v>
      </c>
      <c r="B40" s="50">
        <v>12</v>
      </c>
      <c r="C40" s="56" t="str">
        <f t="shared" si="2"/>
        <v>XC0301:2:I.12</v>
      </c>
      <c r="D40" s="133"/>
      <c r="E40" s="49" t="str">
        <f t="shared" si="3"/>
        <v>Spare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2.75" customHeight="1" x14ac:dyDescent="0.25">
      <c r="A41" s="49" t="s">
        <v>640</v>
      </c>
      <c r="B41" s="50">
        <v>13</v>
      </c>
      <c r="C41" s="56" t="str">
        <f t="shared" si="2"/>
        <v>XC0301:2:I.13</v>
      </c>
      <c r="D41" s="62"/>
      <c r="E41" s="49" t="str">
        <f t="shared" si="3"/>
        <v>Spare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2.75" customHeight="1" x14ac:dyDescent="0.25">
      <c r="A42" s="49" t="s">
        <v>640</v>
      </c>
      <c r="B42" s="50">
        <v>14</v>
      </c>
      <c r="C42" s="56" t="str">
        <f t="shared" si="2"/>
        <v>XC0301:2:I.14</v>
      </c>
      <c r="D42" s="62"/>
      <c r="E42" s="49" t="str">
        <f t="shared" si="3"/>
        <v>Spare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2.75" customHeight="1" x14ac:dyDescent="0.25">
      <c r="A43" s="49" t="s">
        <v>640</v>
      </c>
      <c r="B43" s="50">
        <v>15</v>
      </c>
      <c r="C43" s="56" t="str">
        <f t="shared" si="2"/>
        <v>XC0301:2:I.15</v>
      </c>
      <c r="D43" s="62"/>
      <c r="E43" s="49" t="str">
        <f t="shared" si="3"/>
        <v>Spare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2.75" customHeight="1" x14ac:dyDescent="0.25">
      <c r="A44" s="149" t="s">
        <v>216</v>
      </c>
      <c r="B44" s="143"/>
      <c r="C44" s="143"/>
      <c r="D44" s="143"/>
      <c r="E44" s="15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2.75" customHeight="1" x14ac:dyDescent="0.25">
      <c r="A45" s="49" t="s">
        <v>641</v>
      </c>
      <c r="B45" s="50">
        <v>0</v>
      </c>
      <c r="C45" s="56" t="str">
        <f>A45&amp;B45</f>
        <v>XC0301:3.O.0</v>
      </c>
      <c r="D45" s="115" t="s">
        <v>610</v>
      </c>
      <c r="E45" s="49" t="str">
        <f t="shared" ref="E45:E60" si="4">IF(ISBLANK(D45),"Spare",(VLOOKUP(IF(ISERROR(FIND("_",D45)-1)=TRUE,(LEFT(D45,6)),LEFT(D45,(FIND("_",D45)-1))),EquipmentList,8,FALSE))&amp;IF(RIGHT(D45,2)="_E"," Extend Reed","")&amp;IF(RIGHT(D45,2)="_R"," Retract Reed","")&amp;IF(RIGHT(D45,3)="_EX"," Extend Solenoid","")&amp;IF(RIGHT(D45,3)="_RT"," Retract Solenoid","")&amp;IF(RIGHT(D45,3)="_FB"," Feedback","")&amp;IF(RIGHT(D45,4)="_FWD"," Forward","")&amp;IF(RIGHT(D45,4)="_REV"," Reverse","")&amp;IF(RIGHT(D45,4)="_CH1"," Channel 1","")&amp;IF(RIGHT(D45,4)="_CH2"," Channel 2","")&amp;IF(RIGHT(D45,4)="_EN1"," Enable 1","")&amp;IF(RIGHT(D45,4)="_EN2"," Enable 2","")&amp;IF(RIGHT(D45,3)="_E1"," Extend Reed 1","")&amp;IF(RIGHT(D45,3)="_E2"," Extend Reed 2","")&amp;IF(RIGHT(D45,3)="_R1"," Retract Reed 1","")&amp;IF(RIGHT(D45,3)="_R2"," Retract Reed 2","")&amp;IF(RIGHT(D45,4)="_RES"," Reset","")&amp;IF(RIGHT(D45,4)="_SP2"," Speed 2","")&amp;IF(RIGHT(D45,3)="_E3"," Extend Reed 3","")&amp;IF(RIGHT(D45,3)="_E4"," Extend Reed 4","")&amp;IF(RIGHT(D45,3)="_R3"," Retract Reed 3","")&amp;IF(RIGHT(D45,3)="_R4"," Retract Reed 4","")&amp;IF(RIGHT(D45,2)="_L"," Lock",""))</f>
        <v>Drives Fault Reset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2.75" customHeight="1" x14ac:dyDescent="0.25">
      <c r="A46" s="49" t="s">
        <v>641</v>
      </c>
      <c r="B46" s="50">
        <v>1</v>
      </c>
      <c r="C46" s="56" t="str">
        <f t="shared" ref="C46:C60" si="5">A46&amp;B46</f>
        <v>XC0301:3.O.1</v>
      </c>
      <c r="D46" s="115" t="s">
        <v>561</v>
      </c>
      <c r="E46" s="49" t="str">
        <f t="shared" si="4"/>
        <v>Packer Safety Contactor 1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2.75" customHeight="1" x14ac:dyDescent="0.25">
      <c r="A47" s="49" t="s">
        <v>641</v>
      </c>
      <c r="B47" s="50">
        <v>2</v>
      </c>
      <c r="C47" s="56" t="str">
        <f t="shared" si="5"/>
        <v>XC0301:3.O.2</v>
      </c>
      <c r="D47" s="118" t="s">
        <v>217</v>
      </c>
      <c r="E47" s="49" t="str">
        <f t="shared" si="4"/>
        <v>Run Indication (Green)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2.75" customHeight="1" x14ac:dyDescent="0.25">
      <c r="A48" s="49" t="s">
        <v>641</v>
      </c>
      <c r="B48" s="50">
        <v>3</v>
      </c>
      <c r="C48" s="56" t="str">
        <f t="shared" si="5"/>
        <v>XC0301:3.O.3</v>
      </c>
      <c r="D48" s="118" t="s">
        <v>218</v>
      </c>
      <c r="E48" s="49" t="str">
        <f t="shared" si="4"/>
        <v>Alert Indication (Amber)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2.75" customHeight="1" x14ac:dyDescent="0.25">
      <c r="A49" s="49" t="s">
        <v>641</v>
      </c>
      <c r="B49" s="50">
        <v>4</v>
      </c>
      <c r="C49" s="56" t="str">
        <f t="shared" si="5"/>
        <v>XC0301:3.O.4</v>
      </c>
      <c r="D49" s="118" t="s">
        <v>219</v>
      </c>
      <c r="E49" s="49" t="str">
        <f t="shared" si="4"/>
        <v>Fault Indication (Red)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2.75" customHeight="1" x14ac:dyDescent="0.25">
      <c r="A50" s="49" t="s">
        <v>641</v>
      </c>
      <c r="B50" s="50">
        <v>5</v>
      </c>
      <c r="C50" s="56" t="str">
        <f t="shared" si="5"/>
        <v>XC0301:3.O.5</v>
      </c>
      <c r="D50" s="118" t="s">
        <v>220</v>
      </c>
      <c r="E50" s="49" t="str">
        <f t="shared" si="4"/>
        <v>Buzzer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2.75" customHeight="1" x14ac:dyDescent="0.25">
      <c r="A51" s="49" t="s">
        <v>641</v>
      </c>
      <c r="B51" s="50">
        <v>6</v>
      </c>
      <c r="C51" s="56" t="str">
        <f t="shared" si="5"/>
        <v>XC0301:3.O.6</v>
      </c>
      <c r="D51" s="119" t="s">
        <v>611</v>
      </c>
      <c r="E51" s="49" t="str">
        <f t="shared" si="4"/>
        <v>Pickhead Cyl 1 Extend Solenoid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2.75" customHeight="1" x14ac:dyDescent="0.25">
      <c r="A52" s="49" t="s">
        <v>641</v>
      </c>
      <c r="B52" s="50">
        <v>7</v>
      </c>
      <c r="C52" s="56" t="str">
        <f t="shared" si="5"/>
        <v>XC0301:3.O.7</v>
      </c>
      <c r="D52" s="119" t="s">
        <v>612</v>
      </c>
      <c r="E52" s="49" t="str">
        <f t="shared" si="4"/>
        <v>Pickhead Cyl 1 Retract Solenoid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2.75" customHeight="1" x14ac:dyDescent="0.25">
      <c r="A53" s="49" t="s">
        <v>641</v>
      </c>
      <c r="B53" s="50">
        <v>8</v>
      </c>
      <c r="C53" s="56" t="str">
        <f t="shared" si="5"/>
        <v>XC0301:3.O.8</v>
      </c>
      <c r="D53" s="119" t="s">
        <v>613</v>
      </c>
      <c r="E53" s="49" t="str">
        <f t="shared" si="4"/>
        <v>Pickhead Cyl 2 Extend Solenoid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2.75" customHeight="1" x14ac:dyDescent="0.25">
      <c r="A54" s="49" t="s">
        <v>641</v>
      </c>
      <c r="B54" s="50">
        <v>9</v>
      </c>
      <c r="C54" s="56" t="str">
        <f t="shared" si="5"/>
        <v>XC0301:3.O.9</v>
      </c>
      <c r="D54" s="119" t="s">
        <v>614</v>
      </c>
      <c r="E54" s="49" t="str">
        <f t="shared" si="4"/>
        <v>Pickhead Cyl 2 Retract Solenoid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2.75" customHeight="1" x14ac:dyDescent="0.25">
      <c r="A55" s="49" t="s">
        <v>641</v>
      </c>
      <c r="B55" s="50">
        <v>10</v>
      </c>
      <c r="C55" s="56" t="str">
        <f t="shared" si="5"/>
        <v>XC0301:3.O.10</v>
      </c>
      <c r="D55" s="119"/>
      <c r="E55" s="49" t="str">
        <f t="shared" si="4"/>
        <v>Spare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2.75" customHeight="1" x14ac:dyDescent="0.25">
      <c r="A56" s="49" t="s">
        <v>641</v>
      </c>
      <c r="B56" s="50">
        <v>11</v>
      </c>
      <c r="C56" s="56" t="str">
        <f t="shared" si="5"/>
        <v>XC0301:3.O.11</v>
      </c>
      <c r="D56" s="119"/>
      <c r="E56" s="49" t="str">
        <f t="shared" si="4"/>
        <v>Spare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2.75" customHeight="1" x14ac:dyDescent="0.25">
      <c r="A57" s="49" t="s">
        <v>641</v>
      </c>
      <c r="B57" s="50">
        <v>12</v>
      </c>
      <c r="C57" s="56" t="str">
        <f t="shared" si="5"/>
        <v>XC0301:3.O.12</v>
      </c>
      <c r="D57" s="133"/>
      <c r="E57" s="49" t="str">
        <f t="shared" si="4"/>
        <v>Spare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2.75" customHeight="1" x14ac:dyDescent="0.25">
      <c r="A58" s="49" t="s">
        <v>641</v>
      </c>
      <c r="B58" s="50">
        <v>13</v>
      </c>
      <c r="C58" s="56" t="str">
        <f t="shared" si="5"/>
        <v>XC0301:3.O.13</v>
      </c>
      <c r="D58" s="133"/>
      <c r="E58" s="49" t="str">
        <f t="shared" si="4"/>
        <v>Spare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2.75" customHeight="1" x14ac:dyDescent="0.25">
      <c r="A59" s="49" t="s">
        <v>641</v>
      </c>
      <c r="B59" s="50">
        <v>14</v>
      </c>
      <c r="C59" s="56" t="str">
        <f t="shared" si="5"/>
        <v>XC0301:3.O.14</v>
      </c>
      <c r="D59" s="133"/>
      <c r="E59" s="49" t="str">
        <f t="shared" si="4"/>
        <v>Spare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2.75" customHeight="1" x14ac:dyDescent="0.25">
      <c r="A60" s="49" t="s">
        <v>641</v>
      </c>
      <c r="B60" s="50">
        <v>15</v>
      </c>
      <c r="C60" s="56" t="str">
        <f t="shared" si="5"/>
        <v>XC0301:3.O.15</v>
      </c>
      <c r="D60" s="62"/>
      <c r="E60" s="49" t="str">
        <f t="shared" si="4"/>
        <v>Spare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2.75" customHeight="1" x14ac:dyDescent="0.25">
      <c r="A61" s="149" t="s">
        <v>216</v>
      </c>
      <c r="B61" s="143"/>
      <c r="C61" s="143"/>
      <c r="D61" s="143"/>
      <c r="E61" s="150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2.75" customHeight="1" x14ac:dyDescent="0.25">
      <c r="A62" s="49" t="s">
        <v>642</v>
      </c>
      <c r="B62" s="50">
        <v>0</v>
      </c>
      <c r="C62" s="56" t="str">
        <f t="shared" ref="C62:C77" si="6">A62&amp;B62</f>
        <v>XC0301:4:O.0</v>
      </c>
      <c r="D62" s="107"/>
      <c r="E62" s="49" t="str">
        <f t="shared" ref="E62:E77" si="7">IF(ISBLANK(D62),"Spare",(VLOOKUP(IF(ISERROR(FIND("_",D62)-1)=TRUE,(LEFT(D62,6)),LEFT(D62,(FIND("_",D62)-1))),EquipmentList,8,FALSE))&amp;IF(RIGHT(D62,2)="_E"," Extend Reed","")&amp;IF(RIGHT(D62,2)="_R"," Retract Reed","")&amp;IF(RIGHT(D62,3)="_EX"," Extend Solenoid","")&amp;IF(RIGHT(D62,3)="_RT"," Retract Solenoid","")&amp;IF(RIGHT(D62,3)="_FB"," Feedback","")&amp;IF(RIGHT(D62,4)="_FWD"," Forward","")&amp;IF(RIGHT(D62,4)="_REV"," Reverse","")&amp;IF(RIGHT(D62,4)="_CH1"," Channel 1","")&amp;IF(RIGHT(D62,4)="_CH2"," Channel 2","")&amp;IF(RIGHT(D62,4)="_EN1"," Enable 1","")&amp;IF(RIGHT(D62,4)="_EN2"," Enable 2","")&amp;IF(RIGHT(D62,3)="_E1"," Extend Reed 1","")&amp;IF(RIGHT(D62,3)="_E2"," Extend Reed 2","")&amp;IF(RIGHT(D62,3)="_R1"," Retract Reed 1","")&amp;IF(RIGHT(D62,3)="_R2"," Retract Reed 2","")&amp;IF(RIGHT(D62,4)="_RES"," Reset","")&amp;IF(RIGHT(D62,4)="_SP2"," Speed 2","")&amp;IF(RIGHT(D62,3)="_E3"," Extend Reed 3","")&amp;IF(RIGHT(D62,3)="_E4"," Extend Reed 4","")&amp;IF(RIGHT(D62,3)="_R3"," Retract Reed 3","")&amp;IF(RIGHT(D62,3)="_R4"," Retract Reed 4","")&amp;IF(RIGHT(D62,2)="_L"," Lock",""))</f>
        <v>Spare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2.75" customHeight="1" x14ac:dyDescent="0.25">
      <c r="A63" s="49" t="s">
        <v>642</v>
      </c>
      <c r="B63" s="50">
        <v>1</v>
      </c>
      <c r="C63" s="56" t="str">
        <f t="shared" si="6"/>
        <v>XC0301:4:O.1</v>
      </c>
      <c r="D63" s="62"/>
      <c r="E63" s="49" t="str">
        <f t="shared" si="7"/>
        <v>Spare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2.75" customHeight="1" x14ac:dyDescent="0.25">
      <c r="A64" s="49" t="s">
        <v>642</v>
      </c>
      <c r="B64" s="50">
        <v>2</v>
      </c>
      <c r="C64" s="56" t="str">
        <f t="shared" si="6"/>
        <v>XC0301:4:O.2</v>
      </c>
      <c r="D64" s="107"/>
      <c r="E64" s="49" t="str">
        <f t="shared" si="7"/>
        <v>Spare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2.75" customHeight="1" x14ac:dyDescent="0.25">
      <c r="A65" s="49" t="s">
        <v>642</v>
      </c>
      <c r="B65" s="50">
        <v>3</v>
      </c>
      <c r="C65" s="56" t="str">
        <f t="shared" si="6"/>
        <v>XC0301:4:O.3</v>
      </c>
      <c r="D65" s="107"/>
      <c r="E65" s="49" t="str">
        <f t="shared" si="7"/>
        <v>Spare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2.75" customHeight="1" x14ac:dyDescent="0.25">
      <c r="A66" s="49" t="s">
        <v>642</v>
      </c>
      <c r="B66" s="50">
        <v>4</v>
      </c>
      <c r="C66" s="56" t="str">
        <f t="shared" si="6"/>
        <v>XC0301:4:O.4</v>
      </c>
      <c r="D66" s="107"/>
      <c r="E66" s="49" t="str">
        <f t="shared" si="7"/>
        <v>Spare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2.75" customHeight="1" x14ac:dyDescent="0.25">
      <c r="A67" s="49" t="s">
        <v>642</v>
      </c>
      <c r="B67" s="50">
        <v>5</v>
      </c>
      <c r="C67" s="56" t="str">
        <f t="shared" si="6"/>
        <v>XC0301:4:O.5</v>
      </c>
      <c r="D67" s="62"/>
      <c r="E67" s="49" t="str">
        <f t="shared" si="7"/>
        <v>Spare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2.75" customHeight="1" x14ac:dyDescent="0.25">
      <c r="A68" s="49" t="s">
        <v>642</v>
      </c>
      <c r="B68" s="50">
        <v>6</v>
      </c>
      <c r="C68" s="56" t="str">
        <f t="shared" si="6"/>
        <v>XC0301:4:O.6</v>
      </c>
      <c r="D68" s="106"/>
      <c r="E68" s="49" t="str">
        <f t="shared" si="7"/>
        <v>Spare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2.75" customHeight="1" x14ac:dyDescent="0.25">
      <c r="A69" s="49" t="s">
        <v>642</v>
      </c>
      <c r="B69" s="50">
        <v>7</v>
      </c>
      <c r="C69" s="56" t="str">
        <f t="shared" si="6"/>
        <v>XC0301:4:O.7</v>
      </c>
      <c r="D69" s="62"/>
      <c r="E69" s="49" t="str">
        <f t="shared" si="7"/>
        <v>Spare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2.75" customHeight="1" x14ac:dyDescent="0.25">
      <c r="A70" s="49" t="s">
        <v>642</v>
      </c>
      <c r="B70" s="50">
        <v>8</v>
      </c>
      <c r="C70" s="56" t="str">
        <f t="shared" si="6"/>
        <v>XC0301:4:O.8</v>
      </c>
      <c r="D70" s="107"/>
      <c r="E70" s="49" t="str">
        <f t="shared" si="7"/>
        <v>Spare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2.75" customHeight="1" x14ac:dyDescent="0.25">
      <c r="A71" s="49" t="s">
        <v>642</v>
      </c>
      <c r="B71" s="50">
        <v>9</v>
      </c>
      <c r="C71" s="56" t="str">
        <f t="shared" si="6"/>
        <v>XC0301:4:O.9</v>
      </c>
      <c r="D71" s="107"/>
      <c r="E71" s="49" t="str">
        <f t="shared" si="7"/>
        <v>Spare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2.75" customHeight="1" x14ac:dyDescent="0.25">
      <c r="A72" s="49" t="s">
        <v>642</v>
      </c>
      <c r="B72" s="50">
        <v>10</v>
      </c>
      <c r="C72" s="56" t="str">
        <f t="shared" si="6"/>
        <v>XC0301:4:O.10</v>
      </c>
      <c r="D72" s="62"/>
      <c r="E72" s="49" t="str">
        <f t="shared" si="7"/>
        <v>Spare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2.75" customHeight="1" x14ac:dyDescent="0.25">
      <c r="A73" s="49" t="s">
        <v>642</v>
      </c>
      <c r="B73" s="50">
        <v>11</v>
      </c>
      <c r="C73" s="56" t="str">
        <f t="shared" si="6"/>
        <v>XC0301:4:O.11</v>
      </c>
      <c r="D73" s="62"/>
      <c r="E73" s="49" t="str">
        <f t="shared" si="7"/>
        <v>Spare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2.75" customHeight="1" x14ac:dyDescent="0.25">
      <c r="A74" s="49" t="s">
        <v>642</v>
      </c>
      <c r="B74" s="50">
        <v>12</v>
      </c>
      <c r="C74" s="56" t="str">
        <f t="shared" si="6"/>
        <v>XC0301:4:O.12</v>
      </c>
      <c r="D74" s="62"/>
      <c r="E74" s="49" t="str">
        <f t="shared" si="7"/>
        <v>Spare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2.75" customHeight="1" x14ac:dyDescent="0.25">
      <c r="A75" s="49" t="s">
        <v>642</v>
      </c>
      <c r="B75" s="50">
        <v>13</v>
      </c>
      <c r="C75" s="56" t="str">
        <f t="shared" si="6"/>
        <v>XC0301:4:O.13</v>
      </c>
      <c r="D75" s="62"/>
      <c r="E75" s="49" t="str">
        <f t="shared" si="7"/>
        <v>Spare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2.75" customHeight="1" x14ac:dyDescent="0.25">
      <c r="A76" s="49" t="s">
        <v>642</v>
      </c>
      <c r="B76" s="50">
        <v>14</v>
      </c>
      <c r="C76" s="56" t="str">
        <f t="shared" si="6"/>
        <v>XC0301:4:O.14</v>
      </c>
      <c r="D76" s="62"/>
      <c r="E76" s="49" t="str">
        <f t="shared" si="7"/>
        <v>Spare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2.75" customHeight="1" x14ac:dyDescent="0.25">
      <c r="A77" s="49" t="s">
        <v>642</v>
      </c>
      <c r="B77" s="50">
        <v>15</v>
      </c>
      <c r="C77" s="56" t="str">
        <f t="shared" si="6"/>
        <v>XC0301:4:O.15</v>
      </c>
      <c r="D77" s="63"/>
      <c r="E77" s="49" t="str">
        <f t="shared" si="7"/>
        <v>Spare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2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2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2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2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2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2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2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2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2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2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2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2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2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2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2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2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2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2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2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2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2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2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2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2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2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2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2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2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2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2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2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2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2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2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2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2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2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2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2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2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2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2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2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2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2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2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2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2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2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2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2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2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2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2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2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2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2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2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2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2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2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2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2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2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2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2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2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2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2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2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2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2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2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2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2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2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2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2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2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2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2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2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2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2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2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2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2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2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2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2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2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2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2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2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2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2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2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2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2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2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2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2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2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2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2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2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2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2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2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2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2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2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2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2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2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2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2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2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2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2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2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2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2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2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2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2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2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2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2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2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2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2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2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2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2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2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2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2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2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2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2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2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2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2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2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2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2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2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2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2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2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2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2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2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2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2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2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2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2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2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2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2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2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2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2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2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2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2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2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2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2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2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2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2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2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2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2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2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2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2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2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2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2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2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2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2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2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2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2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2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2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2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2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2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2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2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2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2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2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2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2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2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2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2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2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2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2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2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2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2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2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2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2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2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2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2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2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2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2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2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2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2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2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2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2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2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2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2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2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2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2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2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2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2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2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2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2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2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2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2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2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2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2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2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2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2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2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2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2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2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2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2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2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2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2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2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2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2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2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2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2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2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2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2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2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2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2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2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2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2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2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2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2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2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2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2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2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2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2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2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2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2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2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2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2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2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2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2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2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2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2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2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2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2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2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2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2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2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2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2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2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2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2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2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2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2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2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2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2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2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2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2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2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2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2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2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2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2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2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2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2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2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2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2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2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2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2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2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2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2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2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2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2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2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2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2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2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2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2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2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2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2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2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2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2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2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2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2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2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2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2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2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2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2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2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2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2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2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2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2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2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2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2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2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2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2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2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2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2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2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2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2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2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2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2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2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2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2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2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2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2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2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2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2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2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2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2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2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2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2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2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2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2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2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2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2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2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2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2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2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2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2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2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2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2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2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2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2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2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2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2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2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2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2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2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2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2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2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2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2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2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2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2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2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2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2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2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2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2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2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2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2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2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2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2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2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2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2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2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2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2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2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2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2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2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2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2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2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2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2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2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2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2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2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2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2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2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2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2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2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2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2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2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2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2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2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2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2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2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2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2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2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2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2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2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2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2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2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2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2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2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2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2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2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2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2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2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2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2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2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2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2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2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2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2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2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2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2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2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2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2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2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2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2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2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2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2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2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2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2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2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2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2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2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2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2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2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2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2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2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2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2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2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2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2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2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2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2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2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2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2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2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2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2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2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2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2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2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2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2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2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2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2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2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2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2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2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2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2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2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2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2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2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2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2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2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2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2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2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2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2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2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2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2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2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2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2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2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2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2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2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2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2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2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2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2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2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2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2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2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2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2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2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2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2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2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2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2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2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2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2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2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2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2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2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2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2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2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2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2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2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2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2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2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2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2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2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2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2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2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2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2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2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2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2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2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2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2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2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2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2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2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2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2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2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2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2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2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2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2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2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2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2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2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2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2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2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2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2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2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2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2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2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2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2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2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2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2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2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2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2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2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2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2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2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2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2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2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2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2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2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2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2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2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2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2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2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2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2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2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2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2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2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2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2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2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2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2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2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2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2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2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2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2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2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2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2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2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2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2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2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2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2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2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2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2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2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2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2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2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2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2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2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2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2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2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2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2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2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2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2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2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2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2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2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2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2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2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2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2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2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2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2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2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2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2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2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2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2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2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2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2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2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2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2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2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2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2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2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2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2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2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2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2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2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2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2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2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2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2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2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2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2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2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2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2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2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2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2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2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2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2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2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2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2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2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2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2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2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2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2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2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2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2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2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2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2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2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2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2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2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2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2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2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2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2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2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2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2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2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2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2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2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2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2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2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2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2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2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2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2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2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2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2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2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2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2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2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2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2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2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2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2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2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2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2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2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2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2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2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2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2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2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2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2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2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2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2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2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2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2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2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2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2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2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2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2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2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2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2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2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2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2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2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2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2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2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2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2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2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2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2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2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2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2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2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2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2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2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</sheetData>
  <mergeCells count="8">
    <mergeCell ref="A9:E9"/>
    <mergeCell ref="A44:E44"/>
    <mergeCell ref="A61:E61"/>
    <mergeCell ref="B2:E2"/>
    <mergeCell ref="B3:E3"/>
    <mergeCell ref="B4:E4"/>
    <mergeCell ref="B5:E5"/>
    <mergeCell ref="B6:E6"/>
  </mergeCells>
  <pageMargins left="0.7" right="0.7" top="0.75" bottom="0.75" header="0" footer="0"/>
  <pageSetup paperSize="9" scale="86" fitToHeight="0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I994"/>
  <sheetViews>
    <sheetView topLeftCell="A61" workbookViewId="0">
      <selection activeCell="E79" sqref="E79"/>
    </sheetView>
  </sheetViews>
  <sheetFormatPr defaultColWidth="14.42578125" defaultRowHeight="15" customHeight="1" x14ac:dyDescent="0.25"/>
  <cols>
    <col min="1" max="1" width="15.5703125" customWidth="1"/>
    <col min="2" max="2" width="9.85546875" customWidth="1"/>
    <col min="3" max="3" width="20.42578125" customWidth="1"/>
    <col min="4" max="4" width="21.7109375" customWidth="1"/>
    <col min="5" max="5" width="42.140625" customWidth="1"/>
    <col min="6" max="26" width="8.7109375" customWidth="1"/>
  </cols>
  <sheetData>
    <row r="1" spans="1:8" ht="14.25" customHeight="1" x14ac:dyDescent="0.25">
      <c r="A1" s="15" t="str">
        <f>RIGHT(Title!B31,5)</f>
        <v>16797</v>
      </c>
      <c r="B1" s="21" t="str">
        <f>(VLOOKUP(LEFT(B2,8),EquipmentList,8,FALSE))</f>
        <v>Safety Relay</v>
      </c>
      <c r="C1" s="21"/>
      <c r="D1" s="21"/>
      <c r="E1" s="11"/>
    </row>
    <row r="2" spans="1:8" ht="14.25" customHeight="1" x14ac:dyDescent="0.25">
      <c r="A2" s="51" t="s">
        <v>192</v>
      </c>
      <c r="B2" s="154" t="s">
        <v>199</v>
      </c>
      <c r="C2" s="155"/>
      <c r="D2" s="143"/>
      <c r="E2" s="144"/>
    </row>
    <row r="3" spans="1:8" ht="14.25" customHeight="1" x14ac:dyDescent="0.25">
      <c r="A3" s="51" t="s">
        <v>193</v>
      </c>
      <c r="B3" s="151">
        <v>750103</v>
      </c>
      <c r="C3" s="155"/>
      <c r="D3" s="143"/>
      <c r="E3" s="144"/>
    </row>
    <row r="4" spans="1:8" ht="14.25" customHeight="1" x14ac:dyDescent="0.25">
      <c r="A4" s="51" t="s">
        <v>201</v>
      </c>
      <c r="B4" s="154" t="s">
        <v>199</v>
      </c>
      <c r="C4" s="155"/>
      <c r="D4" s="143"/>
      <c r="E4" s="144"/>
    </row>
    <row r="5" spans="1:8" ht="14.25" customHeight="1" x14ac:dyDescent="0.25">
      <c r="A5" s="51" t="s">
        <v>202</v>
      </c>
      <c r="B5" s="151">
        <v>750103</v>
      </c>
      <c r="C5" s="155"/>
      <c r="D5" s="143"/>
      <c r="E5" s="144"/>
    </row>
    <row r="6" spans="1:8" ht="14.25" customHeight="1" x14ac:dyDescent="0.25">
      <c r="A6" s="51" t="s">
        <v>194</v>
      </c>
      <c r="B6" s="151"/>
      <c r="C6" s="155"/>
      <c r="D6" s="143"/>
      <c r="E6" s="144"/>
    </row>
    <row r="7" spans="1:8" ht="14.25" customHeight="1" x14ac:dyDescent="0.25">
      <c r="A7" s="48" t="s">
        <v>203</v>
      </c>
      <c r="B7" s="48" t="s">
        <v>204</v>
      </c>
      <c r="C7" s="48" t="s">
        <v>205</v>
      </c>
      <c r="D7" s="48" t="s">
        <v>82</v>
      </c>
      <c r="E7" s="48" t="s">
        <v>1</v>
      </c>
    </row>
    <row r="8" spans="1:8" ht="15.75" customHeight="1" x14ac:dyDescent="0.25">
      <c r="A8" s="123" t="s">
        <v>618</v>
      </c>
      <c r="B8" s="120"/>
      <c r="C8" s="121"/>
      <c r="D8" s="122"/>
      <c r="E8" s="122"/>
    </row>
    <row r="9" spans="1:8" ht="12.75" customHeight="1" x14ac:dyDescent="0.25">
      <c r="A9" s="152" t="s">
        <v>626</v>
      </c>
      <c r="B9" s="153"/>
      <c r="C9" s="153"/>
      <c r="D9" s="153"/>
      <c r="E9" s="153"/>
    </row>
    <row r="10" spans="1:8" ht="14.25" customHeight="1" x14ac:dyDescent="0.25">
      <c r="A10" s="49" t="s">
        <v>617</v>
      </c>
      <c r="B10" s="64">
        <v>11</v>
      </c>
      <c r="C10" s="64" t="str">
        <f>A10&amp;B10</f>
        <v>ER2.11</v>
      </c>
      <c r="D10" s="126" t="s">
        <v>554</v>
      </c>
      <c r="E10" s="49" t="str">
        <f t="shared" ref="E10:E25" si="0">IF(ISBLANK(D10),"Spare",(VLOOKUP(IF(ISERROR(FIND("_",D10)-1)=TRUE,(LEFT(D10,6)),LEFT(D10,(FIND("_",D10)-1))),EquipmentList,8,FALSE))&amp;IF(RIGHT(D10,2)="_E"," Extend Reed","")&amp;IF(RIGHT(D10,2)="_R"," Retract Reed","")&amp;IF(RIGHT(D10,3)="_EX"," Extend Solenoid","")&amp;IF(RIGHT(D10,3)="_RT"," Retract Solenoid","")&amp;IF(RIGHT(D10,3)="_FB"," Feedback","")&amp;IF(RIGHT(D10,4)="_FWD"," Forward","")&amp;IF(RIGHT(D10,4)="_REV"," Reverse","")&amp;IF(RIGHT(D10,4)="_CH1"," Channel 1","")&amp;IF(RIGHT(D10,4)="_CH2"," Channel 2","")&amp;IF(RIGHT(D10,4)="_EN1"," Enable 1","")&amp;IF(RIGHT(D10,4)="_EN2"," Enable 2","")&amp;IF(RIGHT(D10,3)="_E1"," Extend Reed 1","")&amp;IF(RIGHT(D10,3)="_E2"," Extend Reed 2","")&amp;IF(RIGHT(D10,3)="_R1"," Retract Reed 1","")&amp;IF(RIGHT(D10,3)="_R2"," Retract Reed 2","")&amp;IF(RIGHT(D10,4)="_RES"," Reset","")&amp;IF(RIGHT(D10,4)="_SP2"," Speed 2","")&amp;IF(RIGHT(D10,3)="_E3"," Extend Reed 3","")&amp;IF(RIGHT(D10,3)="_E4"," Extend Reed 4","")&amp;IF(RIGHT(D10,3)="_R3"," Retract Reed 3","")&amp;IF(RIGHT(D10,3)="_R4"," Retract Reed 4","")&amp;IF(RIGHT(D10,2)="_L"," Lock",""))</f>
        <v>Guard Door 1 Channel 1</v>
      </c>
      <c r="H10" s="3"/>
    </row>
    <row r="11" spans="1:8" ht="14.25" customHeight="1" x14ac:dyDescent="0.25">
      <c r="A11" s="49" t="s">
        <v>617</v>
      </c>
      <c r="B11" s="64">
        <v>12</v>
      </c>
      <c r="C11" s="64" t="str">
        <f t="shared" ref="C11:C25" si="1">A11&amp;B11</f>
        <v>ER2.12</v>
      </c>
      <c r="D11" s="126" t="s">
        <v>589</v>
      </c>
      <c r="E11" s="49" t="str">
        <f t="shared" si="0"/>
        <v>Guard Door 1</v>
      </c>
      <c r="H11" s="3"/>
    </row>
    <row r="12" spans="1:8" ht="14.25" customHeight="1" x14ac:dyDescent="0.25">
      <c r="A12" s="49" t="s">
        <v>617</v>
      </c>
      <c r="B12" s="64">
        <v>13</v>
      </c>
      <c r="C12" s="64" t="str">
        <f t="shared" si="1"/>
        <v>ER2.13</v>
      </c>
      <c r="D12" s="126" t="s">
        <v>555</v>
      </c>
      <c r="E12" s="49" t="str">
        <f t="shared" si="0"/>
        <v>Guard Door 1 Channel 2</v>
      </c>
      <c r="H12" s="3"/>
    </row>
    <row r="13" spans="1:8" ht="14.25" customHeight="1" x14ac:dyDescent="0.25">
      <c r="A13" s="49" t="s">
        <v>617</v>
      </c>
      <c r="B13" s="64">
        <v>14</v>
      </c>
      <c r="C13" s="64" t="str">
        <f t="shared" si="1"/>
        <v>ER2.14</v>
      </c>
      <c r="D13" s="126" t="s">
        <v>589</v>
      </c>
      <c r="E13" s="49" t="str">
        <f t="shared" si="0"/>
        <v>Guard Door 1</v>
      </c>
      <c r="H13" s="3"/>
    </row>
    <row r="14" spans="1:8" ht="14.25" customHeight="1" x14ac:dyDescent="0.25">
      <c r="A14" s="49" t="s">
        <v>617</v>
      </c>
      <c r="B14" s="64">
        <v>21</v>
      </c>
      <c r="C14" s="64" t="str">
        <f t="shared" si="1"/>
        <v>ER2.21</v>
      </c>
      <c r="D14" s="127" t="s">
        <v>556</v>
      </c>
      <c r="E14" s="49" t="str">
        <f t="shared" si="0"/>
        <v>Guard Door 2 Channel 1</v>
      </c>
      <c r="H14" s="3"/>
    </row>
    <row r="15" spans="1:8" ht="14.25" customHeight="1" x14ac:dyDescent="0.25">
      <c r="A15" s="49" t="s">
        <v>617</v>
      </c>
      <c r="B15" s="64">
        <v>22</v>
      </c>
      <c r="C15" s="64" t="str">
        <f t="shared" si="1"/>
        <v>ER2.22</v>
      </c>
      <c r="D15" s="127" t="s">
        <v>590</v>
      </c>
      <c r="E15" s="49" t="str">
        <f t="shared" si="0"/>
        <v>Guard Door 2</v>
      </c>
      <c r="H15" s="3"/>
    </row>
    <row r="16" spans="1:8" ht="14.25" customHeight="1" x14ac:dyDescent="0.25">
      <c r="A16" s="49" t="s">
        <v>617</v>
      </c>
      <c r="B16" s="64">
        <v>23</v>
      </c>
      <c r="C16" s="64" t="str">
        <f t="shared" si="1"/>
        <v>ER2.23</v>
      </c>
      <c r="D16" s="127" t="s">
        <v>555</v>
      </c>
      <c r="E16" s="49" t="str">
        <f t="shared" si="0"/>
        <v>Guard Door 1 Channel 2</v>
      </c>
      <c r="H16" s="3"/>
    </row>
    <row r="17" spans="1:8" ht="14.25" customHeight="1" x14ac:dyDescent="0.25">
      <c r="A17" s="49" t="s">
        <v>617</v>
      </c>
      <c r="B17" s="64">
        <v>24</v>
      </c>
      <c r="C17" s="64" t="str">
        <f t="shared" si="1"/>
        <v>ER2.24</v>
      </c>
      <c r="D17" s="127" t="s">
        <v>590</v>
      </c>
      <c r="E17" s="49" t="str">
        <f t="shared" si="0"/>
        <v>Guard Door 2</v>
      </c>
      <c r="H17" s="3"/>
    </row>
    <row r="18" spans="1:8" ht="14.25" customHeight="1" x14ac:dyDescent="0.25">
      <c r="A18" s="49" t="s">
        <v>617</v>
      </c>
      <c r="B18" s="64">
        <v>31</v>
      </c>
      <c r="C18" s="64" t="str">
        <f t="shared" si="1"/>
        <v>ER2.31</v>
      </c>
      <c r="D18" s="126" t="s">
        <v>557</v>
      </c>
      <c r="E18" s="49" t="str">
        <f t="shared" si="0"/>
        <v>Guard Door 3 Channel 1</v>
      </c>
      <c r="H18" s="3"/>
    </row>
    <row r="19" spans="1:8" ht="14.25" customHeight="1" x14ac:dyDescent="0.25">
      <c r="A19" s="49" t="s">
        <v>617</v>
      </c>
      <c r="B19" s="64">
        <v>32</v>
      </c>
      <c r="C19" s="64" t="str">
        <f t="shared" si="1"/>
        <v>ER2.32</v>
      </c>
      <c r="D19" s="126" t="s">
        <v>591</v>
      </c>
      <c r="E19" s="49" t="str">
        <f t="shared" si="0"/>
        <v>Guard Door 3</v>
      </c>
      <c r="H19" s="3"/>
    </row>
    <row r="20" spans="1:8" ht="14.25" customHeight="1" x14ac:dyDescent="0.25">
      <c r="A20" s="49" t="s">
        <v>617</v>
      </c>
      <c r="B20" s="64">
        <v>33</v>
      </c>
      <c r="C20" s="64" t="str">
        <f t="shared" si="1"/>
        <v>ER2.33</v>
      </c>
      <c r="D20" s="126" t="s">
        <v>558</v>
      </c>
      <c r="E20" s="49" t="str">
        <f t="shared" si="0"/>
        <v>Guard Door 3 Channel 2</v>
      </c>
      <c r="H20" s="3"/>
    </row>
    <row r="21" spans="1:8" ht="14.25" customHeight="1" x14ac:dyDescent="0.25">
      <c r="A21" s="49" t="s">
        <v>617</v>
      </c>
      <c r="B21" s="64">
        <v>34</v>
      </c>
      <c r="C21" s="64" t="str">
        <f t="shared" si="1"/>
        <v>ER2.34</v>
      </c>
      <c r="D21" s="126" t="s">
        <v>591</v>
      </c>
      <c r="E21" s="49" t="str">
        <f t="shared" si="0"/>
        <v>Guard Door 3</v>
      </c>
    </row>
    <row r="22" spans="1:8" ht="14.25" customHeight="1" x14ac:dyDescent="0.25">
      <c r="A22" s="49" t="s">
        <v>617</v>
      </c>
      <c r="B22" s="64">
        <v>41</v>
      </c>
      <c r="C22" s="64" t="str">
        <f t="shared" si="1"/>
        <v>ER2.41</v>
      </c>
      <c r="D22" s="127" t="s">
        <v>559</v>
      </c>
      <c r="E22" s="49" t="str">
        <f t="shared" si="0"/>
        <v>Guard Door 4 Channel 1</v>
      </c>
    </row>
    <row r="23" spans="1:8" ht="14.25" customHeight="1" x14ac:dyDescent="0.25">
      <c r="A23" s="49" t="s">
        <v>617</v>
      </c>
      <c r="B23" s="64">
        <v>42</v>
      </c>
      <c r="C23" s="64" t="str">
        <f t="shared" si="1"/>
        <v>ER2.42</v>
      </c>
      <c r="D23" s="127" t="s">
        <v>592</v>
      </c>
      <c r="E23" s="49" t="str">
        <f t="shared" si="0"/>
        <v>Guard Door 4</v>
      </c>
    </row>
    <row r="24" spans="1:8" ht="14.25" customHeight="1" x14ac:dyDescent="0.25">
      <c r="A24" s="49" t="s">
        <v>617</v>
      </c>
      <c r="B24" s="64">
        <v>43</v>
      </c>
      <c r="C24" s="64" t="str">
        <f t="shared" si="1"/>
        <v>ER2.43</v>
      </c>
      <c r="D24" s="127" t="s">
        <v>560</v>
      </c>
      <c r="E24" s="49" t="str">
        <f t="shared" si="0"/>
        <v>Guard Door 4 Channel 2</v>
      </c>
    </row>
    <row r="25" spans="1:8" ht="14.25" customHeight="1" x14ac:dyDescent="0.25">
      <c r="A25" s="49" t="s">
        <v>617</v>
      </c>
      <c r="B25" s="64">
        <v>44</v>
      </c>
      <c r="C25" s="64" t="str">
        <f t="shared" si="1"/>
        <v>ER2.44</v>
      </c>
      <c r="D25" s="127" t="s">
        <v>592</v>
      </c>
      <c r="E25" s="49" t="str">
        <f t="shared" si="0"/>
        <v>Guard Door 4</v>
      </c>
    </row>
    <row r="26" spans="1:8" ht="12.75" customHeight="1" x14ac:dyDescent="0.25">
      <c r="A26" s="152" t="s">
        <v>638</v>
      </c>
      <c r="B26" s="153"/>
      <c r="C26" s="153"/>
      <c r="D26" s="153"/>
      <c r="E26" s="153"/>
    </row>
    <row r="27" spans="1:8" ht="12.75" customHeight="1" x14ac:dyDescent="0.25">
      <c r="A27" s="49" t="s">
        <v>617</v>
      </c>
      <c r="B27" s="125" t="s">
        <v>628</v>
      </c>
      <c r="C27" s="64" t="str">
        <f>A27&amp;B27</f>
        <v>ER2.Y1</v>
      </c>
      <c r="D27" s="107" t="s">
        <v>602</v>
      </c>
      <c r="E27" s="49" t="str">
        <f t="shared" ref="E27:E30" si="2">IF(ISBLANK(D27),"Spare",(VLOOKUP(IF(ISERROR(FIND("_",D27)-1)=TRUE,(LEFT(D27,6)),LEFT(D27,(FIND("_",D27)-1))),EquipmentList,8,FALSE))&amp;IF(RIGHT(D27,2)="_E"," Extend Reed","")&amp;IF(RIGHT(D27,2)="_R"," Retract Reed","")&amp;IF(RIGHT(D27,3)="_EX"," Extend Solenoid","")&amp;IF(RIGHT(D27,3)="_RT"," Retract Solenoid","")&amp;IF(RIGHT(D27,3)="_FB"," Feedback","")&amp;IF(RIGHT(D27,4)="_FWD"," Forward","")&amp;IF(RIGHT(D27,4)="_REV"," Reverse","")&amp;IF(RIGHT(D27,4)="_CH1"," Channel 1","")&amp;IF(RIGHT(D27,4)="_CH2"," Channel 2","")&amp;IF(RIGHT(D27,4)="_EN1"," Enable 1","")&amp;IF(RIGHT(D27,4)="_EN2"," Enable 2","")&amp;IF(RIGHT(D27,3)="_E1"," Extend Reed 1","")&amp;IF(RIGHT(D27,3)="_E2"," Extend Reed 2","")&amp;IF(RIGHT(D27,3)="_R1"," Retract Reed 1","")&amp;IF(RIGHT(D27,3)="_R2"," Retract Reed 2","")&amp;IF(RIGHT(D27,4)="_RES"," Reset","")&amp;IF(RIGHT(D27,4)="_SP2"," Speed 2","")&amp;IF(RIGHT(D27,3)="_E3"," Extend Reed 3","")&amp;IF(RIGHT(D27,3)="_E4"," Extend Reed 4","")&amp;IF(RIGHT(D27,3)="_R3"," Retract Reed 3","")&amp;IF(RIGHT(D27,3)="_R4"," Retract Reed 4","")&amp;IF(RIGHT(D27,2)="_L"," Lock",""))</f>
        <v>Guard Door 1 Feedback</v>
      </c>
    </row>
    <row r="28" spans="1:8" ht="12.75" customHeight="1" x14ac:dyDescent="0.25">
      <c r="A28" s="49" t="s">
        <v>617</v>
      </c>
      <c r="B28" s="125" t="s">
        <v>629</v>
      </c>
      <c r="C28" s="64" t="str">
        <f t="shared" ref="C28:C30" si="3">A28&amp;B28</f>
        <v>ER2.Y2</v>
      </c>
      <c r="D28" s="107" t="s">
        <v>603</v>
      </c>
      <c r="E28" s="49" t="str">
        <f t="shared" si="2"/>
        <v>Guard Door 2 Feedback</v>
      </c>
    </row>
    <row r="29" spans="1:8" ht="12.75" customHeight="1" x14ac:dyDescent="0.25">
      <c r="A29" s="49" t="s">
        <v>617</v>
      </c>
      <c r="B29" s="125" t="s">
        <v>630</v>
      </c>
      <c r="C29" s="64" t="str">
        <f t="shared" si="3"/>
        <v>ER2.Y3</v>
      </c>
      <c r="D29" s="107" t="s">
        <v>604</v>
      </c>
      <c r="E29" s="49" t="str">
        <f t="shared" si="2"/>
        <v>Guard Door 3 Feedback</v>
      </c>
    </row>
    <row r="30" spans="1:8" ht="12.75" customHeight="1" x14ac:dyDescent="0.25">
      <c r="A30" s="49" t="s">
        <v>617</v>
      </c>
      <c r="B30" s="125" t="s">
        <v>631</v>
      </c>
      <c r="C30" s="64" t="str">
        <f t="shared" si="3"/>
        <v>ER2.Y4</v>
      </c>
      <c r="D30" s="107" t="s">
        <v>605</v>
      </c>
      <c r="E30" s="49" t="str">
        <f t="shared" si="2"/>
        <v>Guard Door 4 Feedback</v>
      </c>
    </row>
    <row r="31" spans="1:8" ht="15.75" customHeight="1" x14ac:dyDescent="0.25">
      <c r="A31" s="123" t="s">
        <v>622</v>
      </c>
      <c r="B31" s="120"/>
      <c r="C31" s="121"/>
      <c r="D31" s="122"/>
      <c r="E31" s="122"/>
    </row>
    <row r="32" spans="1:8" ht="12.75" customHeight="1" x14ac:dyDescent="0.25">
      <c r="A32" s="152" t="s">
        <v>626</v>
      </c>
      <c r="B32" s="153"/>
      <c r="C32" s="153"/>
      <c r="D32" s="153"/>
      <c r="E32" s="153"/>
    </row>
    <row r="33" spans="1:9" ht="14.25" customHeight="1" x14ac:dyDescent="0.25">
      <c r="A33" s="106" t="s">
        <v>624</v>
      </c>
      <c r="B33" s="64">
        <v>11</v>
      </c>
      <c r="C33" s="64" t="str">
        <f>A33&amp;B33</f>
        <v>ER3.11</v>
      </c>
      <c r="D33" s="126" t="s">
        <v>209</v>
      </c>
      <c r="E33" s="49" t="str">
        <f t="shared" ref="E33:E48" si="4">IF(ISBLANK(D33),"Spare",(VLOOKUP(IF(ISERROR(FIND("_",D33)-1)=TRUE,(LEFT(D33,6)),LEFT(D33,(FIND("_",D33)-1))),EquipmentList,8,FALSE))&amp;IF(RIGHT(D33,2)="_E"," Extend Reed","")&amp;IF(RIGHT(D33,2)="_R"," Retract Reed","")&amp;IF(RIGHT(D33,3)="_EX"," Extend Solenoid","")&amp;IF(RIGHT(D33,3)="_RT"," Retract Solenoid","")&amp;IF(RIGHT(D33,3)="_FB"," Feedback","")&amp;IF(RIGHT(D33,4)="_FWD"," Forward","")&amp;IF(RIGHT(D33,4)="_REV"," Reverse","")&amp;IF(RIGHT(D33,4)="_CH1"," Channel 1","")&amp;IF(RIGHT(D33,4)="_CH2"," Channel 2","")&amp;IF(RIGHT(D33,4)="_EN1"," Enable 1","")&amp;IF(RIGHT(D33,4)="_EN2"," Enable 2","")&amp;IF(RIGHT(D33,3)="_E1"," Extend Reed 1","")&amp;IF(RIGHT(D33,3)="_E2"," Extend Reed 2","")&amp;IF(RIGHT(D33,3)="_R1"," Retract Reed 1","")&amp;IF(RIGHT(D33,3)="_R2"," Retract Reed 2","")&amp;IF(RIGHT(D33,4)="_RES"," Reset","")&amp;IF(RIGHT(D33,4)="_SP2"," Speed 2","")&amp;IF(RIGHT(D33,3)="_E3"," Extend Reed 3","")&amp;IF(RIGHT(D33,3)="_E4"," Extend Reed 4","")&amp;IF(RIGHT(D33,3)="_R3"," Retract Reed 3","")&amp;IF(RIGHT(D33,3)="_R4"," Retract Reed 4","")&amp;IF(RIGHT(D33,2)="_L"," Lock",""))</f>
        <v>Operator Control Panel E-Stop Channel 1</v>
      </c>
      <c r="H33" s="3"/>
      <c r="I33" s="3"/>
    </row>
    <row r="34" spans="1:9" ht="14.25" customHeight="1" x14ac:dyDescent="0.25">
      <c r="A34" s="106" t="s">
        <v>624</v>
      </c>
      <c r="B34" s="64">
        <v>12</v>
      </c>
      <c r="C34" s="64" t="str">
        <f t="shared" ref="C34:C48" si="5">A34&amp;B34</f>
        <v>ER3.12</v>
      </c>
      <c r="D34" s="126" t="s">
        <v>586</v>
      </c>
      <c r="E34" s="49" t="str">
        <f t="shared" si="4"/>
        <v>Operator Control Panel E-Stop</v>
      </c>
      <c r="H34" s="3"/>
      <c r="I34" s="3"/>
    </row>
    <row r="35" spans="1:9" ht="14.25" customHeight="1" x14ac:dyDescent="0.25">
      <c r="A35" s="106" t="s">
        <v>624</v>
      </c>
      <c r="B35" s="64">
        <v>13</v>
      </c>
      <c r="C35" s="64" t="str">
        <f t="shared" si="5"/>
        <v>ER3.13</v>
      </c>
      <c r="D35" s="126" t="s">
        <v>210</v>
      </c>
      <c r="E35" s="49" t="str">
        <f t="shared" si="4"/>
        <v>Operator Control Panel E-Stop Channel 2</v>
      </c>
      <c r="H35" s="3"/>
      <c r="I35" s="3"/>
    </row>
    <row r="36" spans="1:9" ht="14.25" customHeight="1" x14ac:dyDescent="0.25">
      <c r="A36" s="106" t="s">
        <v>624</v>
      </c>
      <c r="B36" s="64">
        <v>14</v>
      </c>
      <c r="C36" s="64" t="str">
        <f t="shared" si="5"/>
        <v>ER3.14</v>
      </c>
      <c r="D36" s="126" t="s">
        <v>586</v>
      </c>
      <c r="E36" s="49" t="str">
        <f t="shared" si="4"/>
        <v>Operator Control Panel E-Stop</v>
      </c>
      <c r="H36" s="3"/>
      <c r="I36" s="3"/>
    </row>
    <row r="37" spans="1:9" ht="14.25" customHeight="1" x14ac:dyDescent="0.25">
      <c r="A37" s="106" t="s">
        <v>624</v>
      </c>
      <c r="B37" s="64">
        <v>21</v>
      </c>
      <c r="C37" s="64" t="str">
        <f t="shared" si="5"/>
        <v>ER3.21</v>
      </c>
      <c r="D37" s="127" t="s">
        <v>211</v>
      </c>
      <c r="E37" s="49" t="str">
        <f t="shared" si="4"/>
        <v>Control Panel E-Stop Channel 1</v>
      </c>
      <c r="H37" s="3"/>
      <c r="I37" s="3"/>
    </row>
    <row r="38" spans="1:9" ht="14.25" customHeight="1" x14ac:dyDescent="0.25">
      <c r="A38" s="106" t="s">
        <v>624</v>
      </c>
      <c r="B38" s="64">
        <v>22</v>
      </c>
      <c r="C38" s="64" t="str">
        <f t="shared" si="5"/>
        <v>ER3.22</v>
      </c>
      <c r="D38" s="127" t="s">
        <v>587</v>
      </c>
      <c r="E38" s="49" t="str">
        <f t="shared" si="4"/>
        <v>Control Panel E-Stop</v>
      </c>
      <c r="H38" s="3"/>
      <c r="I38" s="3"/>
    </row>
    <row r="39" spans="1:9" ht="14.25" customHeight="1" x14ac:dyDescent="0.25">
      <c r="A39" s="106" t="s">
        <v>624</v>
      </c>
      <c r="B39" s="64">
        <v>23</v>
      </c>
      <c r="C39" s="64" t="str">
        <f t="shared" si="5"/>
        <v>ER3.23</v>
      </c>
      <c r="D39" s="127" t="s">
        <v>212</v>
      </c>
      <c r="E39" s="49" t="str">
        <f t="shared" si="4"/>
        <v>Control Panel E-Stop Channel 2</v>
      </c>
      <c r="H39" s="3"/>
      <c r="I39" s="3"/>
    </row>
    <row r="40" spans="1:9" ht="14.25" customHeight="1" x14ac:dyDescent="0.25">
      <c r="A40" s="106" t="s">
        <v>624</v>
      </c>
      <c r="B40" s="64">
        <v>24</v>
      </c>
      <c r="C40" s="64" t="str">
        <f t="shared" si="5"/>
        <v>ER3.24</v>
      </c>
      <c r="D40" s="127" t="s">
        <v>587</v>
      </c>
      <c r="E40" s="49" t="str">
        <f t="shared" si="4"/>
        <v>Control Panel E-Stop</v>
      </c>
      <c r="H40" s="3"/>
      <c r="I40" s="3"/>
    </row>
    <row r="41" spans="1:9" ht="14.25" customHeight="1" x14ac:dyDescent="0.25">
      <c r="A41" s="106" t="s">
        <v>624</v>
      </c>
      <c r="B41" s="64">
        <v>31</v>
      </c>
      <c r="C41" s="64" t="str">
        <f t="shared" si="5"/>
        <v>ER3.31</v>
      </c>
      <c r="D41" s="126" t="s">
        <v>562</v>
      </c>
      <c r="E41" s="49" t="str">
        <f t="shared" si="4"/>
        <v>Chasiss E-Stop Channel 1</v>
      </c>
      <c r="H41" s="3"/>
      <c r="I41" s="3"/>
    </row>
    <row r="42" spans="1:9" ht="14.25" customHeight="1" x14ac:dyDescent="0.25">
      <c r="A42" s="106" t="s">
        <v>624</v>
      </c>
      <c r="B42" s="64">
        <v>32</v>
      </c>
      <c r="C42" s="64" t="str">
        <f t="shared" si="5"/>
        <v>ER3.32</v>
      </c>
      <c r="D42" s="126" t="s">
        <v>588</v>
      </c>
      <c r="E42" s="49" t="str">
        <f t="shared" si="4"/>
        <v>Chasiss E-Stop</v>
      </c>
      <c r="H42" s="3"/>
      <c r="I42" s="3"/>
    </row>
    <row r="43" spans="1:9" ht="14.25" customHeight="1" x14ac:dyDescent="0.25">
      <c r="A43" s="106" t="s">
        <v>624</v>
      </c>
      <c r="B43" s="64">
        <v>33</v>
      </c>
      <c r="C43" s="64" t="str">
        <f t="shared" si="5"/>
        <v>ER3.33</v>
      </c>
      <c r="D43" s="126" t="s">
        <v>563</v>
      </c>
      <c r="E43" s="49" t="str">
        <f t="shared" si="4"/>
        <v>Chasiss E-Stop Channel 2</v>
      </c>
      <c r="H43" s="3"/>
    </row>
    <row r="44" spans="1:9" ht="14.25" customHeight="1" x14ac:dyDescent="0.25">
      <c r="A44" s="106" t="s">
        <v>624</v>
      </c>
      <c r="B44" s="64">
        <v>34</v>
      </c>
      <c r="C44" s="64" t="str">
        <f t="shared" si="5"/>
        <v>ER3.34</v>
      </c>
      <c r="D44" s="126" t="s">
        <v>588</v>
      </c>
      <c r="E44" s="49" t="str">
        <f t="shared" si="4"/>
        <v>Chasiss E-Stop</v>
      </c>
    </row>
    <row r="45" spans="1:9" ht="14.25" customHeight="1" x14ac:dyDescent="0.25">
      <c r="A45" s="106" t="s">
        <v>624</v>
      </c>
      <c r="B45" s="64">
        <v>41</v>
      </c>
      <c r="C45" s="64" t="str">
        <f t="shared" si="5"/>
        <v>ER3.41</v>
      </c>
      <c r="D45" s="127" t="s">
        <v>633</v>
      </c>
      <c r="E45" s="49" t="str">
        <f t="shared" si="4"/>
        <v>Pendent E-Stop Channel 1</v>
      </c>
    </row>
    <row r="46" spans="1:9" ht="14.25" customHeight="1" x14ac:dyDescent="0.25">
      <c r="A46" s="106" t="s">
        <v>624</v>
      </c>
      <c r="B46" s="64">
        <v>42</v>
      </c>
      <c r="C46" s="64" t="str">
        <f t="shared" si="5"/>
        <v>ER3.42</v>
      </c>
      <c r="D46" s="127" t="s">
        <v>632</v>
      </c>
      <c r="E46" s="49" t="str">
        <f t="shared" si="4"/>
        <v>Pendent E-Stop</v>
      </c>
    </row>
    <row r="47" spans="1:9" ht="14.25" customHeight="1" x14ac:dyDescent="0.25">
      <c r="A47" s="106" t="s">
        <v>624</v>
      </c>
      <c r="B47" s="64">
        <v>43</v>
      </c>
      <c r="C47" s="64" t="str">
        <f t="shared" si="5"/>
        <v>ER3.43</v>
      </c>
      <c r="D47" s="127" t="s">
        <v>634</v>
      </c>
      <c r="E47" s="49" t="str">
        <f t="shared" si="4"/>
        <v>Pendent E-Stop Channel 2</v>
      </c>
    </row>
    <row r="48" spans="1:9" ht="14.25" customHeight="1" x14ac:dyDescent="0.25">
      <c r="A48" s="106" t="s">
        <v>624</v>
      </c>
      <c r="B48" s="64">
        <v>44</v>
      </c>
      <c r="C48" s="64" t="str">
        <f t="shared" si="5"/>
        <v>ER3.44</v>
      </c>
      <c r="D48" s="127" t="s">
        <v>632</v>
      </c>
      <c r="E48" s="49" t="str">
        <f t="shared" si="4"/>
        <v>Pendent E-Stop</v>
      </c>
    </row>
    <row r="49" spans="1:9" ht="12.75" customHeight="1" x14ac:dyDescent="0.25">
      <c r="A49" s="152" t="s">
        <v>638</v>
      </c>
      <c r="B49" s="153"/>
      <c r="C49" s="153"/>
      <c r="D49" s="153"/>
      <c r="E49" s="153"/>
    </row>
    <row r="50" spans="1:9" ht="12.75" customHeight="1" x14ac:dyDescent="0.25">
      <c r="A50" s="106" t="s">
        <v>624</v>
      </c>
      <c r="B50" s="125" t="s">
        <v>628</v>
      </c>
      <c r="C50" s="64" t="str">
        <f>A50&amp;B50</f>
        <v>ER3.Y1</v>
      </c>
      <c r="D50" s="107" t="s">
        <v>599</v>
      </c>
      <c r="E50" s="49" t="str">
        <f t="shared" ref="E50:E53" si="6">IF(ISBLANK(D50),"Spare",(VLOOKUP(IF(ISERROR(FIND("_",D50)-1)=TRUE,(LEFT(D50,6)),LEFT(D50,(FIND("_",D50)-1))),EquipmentList,8,FALSE))&amp;IF(RIGHT(D50,2)="_E"," Extend Reed","")&amp;IF(RIGHT(D50,2)="_R"," Retract Reed","")&amp;IF(RIGHT(D50,3)="_EX"," Extend Solenoid","")&amp;IF(RIGHT(D50,3)="_RT"," Retract Solenoid","")&amp;IF(RIGHT(D50,3)="_FB"," Feedback","")&amp;IF(RIGHT(D50,4)="_FWD"," Forward","")&amp;IF(RIGHT(D50,4)="_REV"," Reverse","")&amp;IF(RIGHT(D50,4)="_CH1"," Channel 1","")&amp;IF(RIGHT(D50,4)="_CH2"," Channel 2","")&amp;IF(RIGHT(D50,4)="_EN1"," Enable 1","")&amp;IF(RIGHT(D50,4)="_EN2"," Enable 2","")&amp;IF(RIGHT(D50,3)="_E1"," Extend Reed 1","")&amp;IF(RIGHT(D50,3)="_E2"," Extend Reed 2","")&amp;IF(RIGHT(D50,3)="_R1"," Retract Reed 1","")&amp;IF(RIGHT(D50,3)="_R2"," Retract Reed 2","")&amp;IF(RIGHT(D50,4)="_RES"," Reset","")&amp;IF(RIGHT(D50,4)="_SP2"," Speed 2","")&amp;IF(RIGHT(D50,3)="_E3"," Extend Reed 3","")&amp;IF(RIGHT(D50,3)="_E4"," Extend Reed 4","")&amp;IF(RIGHT(D50,3)="_R3"," Retract Reed 3","")&amp;IF(RIGHT(D50,3)="_R4"," Retract Reed 4","")&amp;IF(RIGHT(D50,2)="_L"," Lock",""))</f>
        <v>Operator Control Panel E-Stop Feedback</v>
      </c>
    </row>
    <row r="51" spans="1:9" ht="12.75" customHeight="1" x14ac:dyDescent="0.25">
      <c r="A51" s="106" t="s">
        <v>624</v>
      </c>
      <c r="B51" s="125" t="s">
        <v>629</v>
      </c>
      <c r="C51" s="64" t="str">
        <f t="shared" ref="C51:C53" si="7">A51&amp;B51</f>
        <v>ER3.Y2</v>
      </c>
      <c r="D51" s="107" t="s">
        <v>600</v>
      </c>
      <c r="E51" s="49" t="str">
        <f t="shared" si="6"/>
        <v>Control Panel E-Stop Feedback</v>
      </c>
    </row>
    <row r="52" spans="1:9" ht="12.75" customHeight="1" x14ac:dyDescent="0.25">
      <c r="A52" s="106" t="s">
        <v>624</v>
      </c>
      <c r="B52" s="125" t="s">
        <v>630</v>
      </c>
      <c r="C52" s="64" t="str">
        <f t="shared" si="7"/>
        <v>ER3.Y3</v>
      </c>
      <c r="D52" s="107" t="s">
        <v>601</v>
      </c>
      <c r="E52" s="49" t="str">
        <f t="shared" si="6"/>
        <v>Chasiss E-Stop Feedback</v>
      </c>
    </row>
    <row r="53" spans="1:9" ht="12.75" customHeight="1" x14ac:dyDescent="0.25">
      <c r="A53" s="106" t="s">
        <v>624</v>
      </c>
      <c r="B53" s="125" t="s">
        <v>631</v>
      </c>
      <c r="C53" s="64" t="str">
        <f t="shared" si="7"/>
        <v>ER3.Y4</v>
      </c>
      <c r="D53" s="107" t="s">
        <v>616</v>
      </c>
      <c r="E53" s="49" t="str">
        <f t="shared" si="6"/>
        <v>Pendent E-Stop Feedback</v>
      </c>
    </row>
    <row r="54" spans="1:9" ht="15.75" customHeight="1" x14ac:dyDescent="0.25">
      <c r="A54" s="123" t="s">
        <v>623</v>
      </c>
      <c r="B54" s="120"/>
      <c r="C54" s="121"/>
      <c r="D54" s="122"/>
      <c r="E54" s="122"/>
    </row>
    <row r="55" spans="1:9" ht="12.75" customHeight="1" x14ac:dyDescent="0.25">
      <c r="A55" s="152" t="s">
        <v>626</v>
      </c>
      <c r="B55" s="153"/>
      <c r="C55" s="153"/>
      <c r="D55" s="153"/>
      <c r="E55" s="153"/>
    </row>
    <row r="56" spans="1:9" ht="14.25" customHeight="1" x14ac:dyDescent="0.25">
      <c r="A56" s="106" t="s">
        <v>625</v>
      </c>
      <c r="B56" s="64">
        <v>11</v>
      </c>
      <c r="C56" s="64" t="str">
        <f>A56&amp;B56</f>
        <v>ER4.11</v>
      </c>
      <c r="D56" s="126" t="s">
        <v>207</v>
      </c>
      <c r="E56" s="49" t="str">
        <f t="shared" ref="E56:E71" si="8">IF(ISBLANK(D56),"Spare",(VLOOKUP(IF(ISERROR(FIND("_",D56)-1)=TRUE,(LEFT(D56,6)),LEFT(D56,(FIND("_",D56)-1))),EquipmentList,8,FALSE))&amp;IF(RIGHT(D56,2)="_E"," Extend Reed","")&amp;IF(RIGHT(D56,2)="_R"," Retract Reed","")&amp;IF(RIGHT(D56,3)="_EX"," Extend Solenoid","")&amp;IF(RIGHT(D56,3)="_RT"," Retract Solenoid","")&amp;IF(RIGHT(D56,3)="_FB"," Feedback","")&amp;IF(RIGHT(D56,4)="_FWD"," Forward","")&amp;IF(RIGHT(D56,4)="_REV"," Reverse","")&amp;IF(RIGHT(D56,4)="_CH1"," Channel 1","")&amp;IF(RIGHT(D56,4)="_CH2"," Channel 2","")&amp;IF(RIGHT(D56,4)="_EN1"," Enable 1","")&amp;IF(RIGHT(D56,4)="_EN2"," Enable 2","")&amp;IF(RIGHT(D56,3)="_E1"," Extend Reed 1","")&amp;IF(RIGHT(D56,3)="_E2"," Extend Reed 2","")&amp;IF(RIGHT(D56,3)="_R1"," Retract Reed 1","")&amp;IF(RIGHT(D56,3)="_R2"," Retract Reed 2","")&amp;IF(RIGHT(D56,4)="_RES"," Reset","")&amp;IF(RIGHT(D56,4)="_SP2"," Speed 2","")&amp;IF(RIGHT(D56,3)="_E3"," Extend Reed 3","")&amp;IF(RIGHT(D56,3)="_E4"," Extend Reed 4","")&amp;IF(RIGHT(D56,3)="_R3"," Retract Reed 3","")&amp;IF(RIGHT(D56,3)="_R4"," Retract Reed 4","")&amp;IF(RIGHT(D56,2)="_L"," Lock",""))</f>
        <v>Pneumatic Quick Exhaust Valve</v>
      </c>
      <c r="H56" s="3"/>
    </row>
    <row r="57" spans="1:9" ht="14.25" customHeight="1" x14ac:dyDescent="0.25">
      <c r="A57" s="106" t="s">
        <v>625</v>
      </c>
      <c r="B57" s="64">
        <v>12</v>
      </c>
      <c r="C57" s="64" t="str">
        <f t="shared" ref="C57:C71" si="9">A57&amp;B57</f>
        <v>ER4.12</v>
      </c>
      <c r="D57" s="126"/>
      <c r="E57" s="49" t="str">
        <f t="shared" si="8"/>
        <v>Spare</v>
      </c>
      <c r="H57" s="3"/>
    </row>
    <row r="58" spans="1:9" ht="14.25" customHeight="1" x14ac:dyDescent="0.25">
      <c r="A58" s="106" t="s">
        <v>625</v>
      </c>
      <c r="B58" s="64">
        <v>13</v>
      </c>
      <c r="C58" s="64" t="str">
        <f t="shared" si="9"/>
        <v>ER4.13</v>
      </c>
      <c r="D58" s="126" t="s">
        <v>208</v>
      </c>
      <c r="E58" s="49" t="str">
        <f t="shared" si="8"/>
        <v>Pneumatic Quick Exhaust Valve</v>
      </c>
      <c r="H58" s="3"/>
    </row>
    <row r="59" spans="1:9" ht="14.25" customHeight="1" x14ac:dyDescent="0.25">
      <c r="A59" s="106" t="s">
        <v>625</v>
      </c>
      <c r="B59" s="64">
        <v>14</v>
      </c>
      <c r="C59" s="64" t="str">
        <f t="shared" si="9"/>
        <v>ER4.14</v>
      </c>
      <c r="D59" s="126"/>
      <c r="E59" s="49" t="str">
        <f t="shared" si="8"/>
        <v>Spare</v>
      </c>
      <c r="H59" s="3"/>
      <c r="I59" s="3"/>
    </row>
    <row r="60" spans="1:9" ht="14.25" customHeight="1" x14ac:dyDescent="0.25">
      <c r="A60" s="106" t="s">
        <v>625</v>
      </c>
      <c r="B60" s="64">
        <v>21</v>
      </c>
      <c r="C60" s="64" t="str">
        <f t="shared" si="9"/>
        <v>ER4.21</v>
      </c>
      <c r="D60" s="62"/>
      <c r="E60" s="49" t="str">
        <f t="shared" si="8"/>
        <v>Spare</v>
      </c>
      <c r="H60" s="3"/>
      <c r="I60" s="3"/>
    </row>
    <row r="61" spans="1:9" ht="14.25" customHeight="1" x14ac:dyDescent="0.25">
      <c r="A61" s="106" t="s">
        <v>625</v>
      </c>
      <c r="B61" s="64">
        <v>22</v>
      </c>
      <c r="C61" s="64" t="str">
        <f t="shared" si="9"/>
        <v>ER4.22</v>
      </c>
      <c r="D61" s="62"/>
      <c r="E61" s="49" t="str">
        <f t="shared" si="8"/>
        <v>Spare</v>
      </c>
      <c r="H61" s="3"/>
      <c r="I61" s="3"/>
    </row>
    <row r="62" spans="1:9" ht="14.25" customHeight="1" x14ac:dyDescent="0.25">
      <c r="A62" s="106" t="s">
        <v>625</v>
      </c>
      <c r="B62" s="64">
        <v>23</v>
      </c>
      <c r="C62" s="64" t="str">
        <f t="shared" si="9"/>
        <v>ER4.23</v>
      </c>
      <c r="D62" s="62"/>
      <c r="E62" s="49" t="str">
        <f t="shared" si="8"/>
        <v>Spare</v>
      </c>
      <c r="H62" s="3"/>
      <c r="I62" s="3"/>
    </row>
    <row r="63" spans="1:9" ht="14.25" customHeight="1" x14ac:dyDescent="0.25">
      <c r="A63" s="106" t="s">
        <v>625</v>
      </c>
      <c r="B63" s="64">
        <v>24</v>
      </c>
      <c r="C63" s="64" t="str">
        <f t="shared" si="9"/>
        <v>ER4.24</v>
      </c>
      <c r="D63" s="62"/>
      <c r="E63" s="49" t="str">
        <f t="shared" si="8"/>
        <v>Spare</v>
      </c>
      <c r="H63" s="3"/>
      <c r="I63" s="3"/>
    </row>
    <row r="64" spans="1:9" ht="14.25" customHeight="1" x14ac:dyDescent="0.25">
      <c r="A64" s="106" t="s">
        <v>625</v>
      </c>
      <c r="B64" s="64">
        <v>31</v>
      </c>
      <c r="C64" s="64" t="str">
        <f t="shared" si="9"/>
        <v>ER4.31</v>
      </c>
      <c r="D64" s="62"/>
      <c r="E64" s="49" t="str">
        <f t="shared" si="8"/>
        <v>Spare</v>
      </c>
      <c r="H64" s="3"/>
      <c r="I64" s="3"/>
    </row>
    <row r="65" spans="1:9" ht="14.25" customHeight="1" x14ac:dyDescent="0.25">
      <c r="A65" s="106" t="s">
        <v>625</v>
      </c>
      <c r="B65" s="64">
        <v>32</v>
      </c>
      <c r="C65" s="64" t="str">
        <f t="shared" si="9"/>
        <v>ER4.32</v>
      </c>
      <c r="D65" s="62"/>
      <c r="E65" s="49" t="str">
        <f t="shared" si="8"/>
        <v>Spare</v>
      </c>
      <c r="H65" s="3"/>
      <c r="I65" s="3"/>
    </row>
    <row r="66" spans="1:9" ht="14.25" customHeight="1" x14ac:dyDescent="0.25">
      <c r="A66" s="106" t="s">
        <v>625</v>
      </c>
      <c r="B66" s="64">
        <v>33</v>
      </c>
      <c r="C66" s="64" t="str">
        <f t="shared" si="9"/>
        <v>ER4.33</v>
      </c>
      <c r="D66" s="62"/>
      <c r="E66" s="49" t="str">
        <f t="shared" si="8"/>
        <v>Spare</v>
      </c>
      <c r="H66" s="3"/>
    </row>
    <row r="67" spans="1:9" ht="14.25" customHeight="1" x14ac:dyDescent="0.25">
      <c r="A67" s="106" t="s">
        <v>625</v>
      </c>
      <c r="B67" s="64">
        <v>34</v>
      </c>
      <c r="C67" s="64" t="str">
        <f t="shared" si="9"/>
        <v>ER4.34</v>
      </c>
      <c r="D67" s="62"/>
      <c r="E67" s="49" t="str">
        <f t="shared" si="8"/>
        <v>Spare</v>
      </c>
    </row>
    <row r="68" spans="1:9" ht="14.25" customHeight="1" x14ac:dyDescent="0.25">
      <c r="A68" s="106" t="s">
        <v>625</v>
      </c>
      <c r="B68" s="64">
        <v>41</v>
      </c>
      <c r="C68" s="64" t="str">
        <f t="shared" si="9"/>
        <v>ER4.41</v>
      </c>
      <c r="D68" s="62"/>
      <c r="E68" s="49" t="str">
        <f t="shared" si="8"/>
        <v>Spare</v>
      </c>
    </row>
    <row r="69" spans="1:9" ht="14.25" customHeight="1" x14ac:dyDescent="0.25">
      <c r="A69" s="106" t="s">
        <v>625</v>
      </c>
      <c r="B69" s="64">
        <v>42</v>
      </c>
      <c r="C69" s="64" t="str">
        <f t="shared" si="9"/>
        <v>ER4.42</v>
      </c>
      <c r="D69" s="62"/>
      <c r="E69" s="49" t="str">
        <f t="shared" si="8"/>
        <v>Spare</v>
      </c>
    </row>
    <row r="70" spans="1:9" ht="14.25" customHeight="1" x14ac:dyDescent="0.25">
      <c r="A70" s="106" t="s">
        <v>625</v>
      </c>
      <c r="B70" s="64">
        <v>43</v>
      </c>
      <c r="C70" s="64" t="str">
        <f t="shared" si="9"/>
        <v>ER4.43</v>
      </c>
      <c r="D70" s="62"/>
      <c r="E70" s="49" t="str">
        <f t="shared" si="8"/>
        <v>Spare</v>
      </c>
    </row>
    <row r="71" spans="1:9" ht="14.25" customHeight="1" x14ac:dyDescent="0.25">
      <c r="A71" s="106" t="s">
        <v>625</v>
      </c>
      <c r="B71" s="64">
        <v>44</v>
      </c>
      <c r="C71" s="64" t="str">
        <f t="shared" si="9"/>
        <v>ER4.44</v>
      </c>
      <c r="D71" s="62"/>
      <c r="E71" s="49" t="str">
        <f t="shared" si="8"/>
        <v>Spare</v>
      </c>
    </row>
    <row r="72" spans="1:9" ht="12.75" customHeight="1" x14ac:dyDescent="0.25">
      <c r="A72" s="152" t="s">
        <v>627</v>
      </c>
      <c r="B72" s="153"/>
      <c r="C72" s="153"/>
      <c r="D72" s="153"/>
      <c r="E72" s="153"/>
    </row>
    <row r="73" spans="1:9" ht="12.75" customHeight="1" x14ac:dyDescent="0.25">
      <c r="A73" s="106" t="s">
        <v>625</v>
      </c>
      <c r="B73" s="125" t="s">
        <v>628</v>
      </c>
      <c r="C73" s="64" t="str">
        <f>A73&amp;B73</f>
        <v>ER4.Y1</v>
      </c>
      <c r="D73" s="62" t="s">
        <v>654</v>
      </c>
      <c r="E73" s="49" t="str">
        <f t="shared" ref="E73:E76" si="10">IF(ISBLANK(D73),"Spare",(VLOOKUP(IF(ISERROR(FIND("_",D73)-1)=TRUE,(LEFT(D73,6)),LEFT(D73,(FIND("_",D73)-1))),EquipmentList,8,FALSE))&amp;IF(RIGHT(D73,2)="_E"," Extend Reed","")&amp;IF(RIGHT(D73,2)="_R"," Retract Reed","")&amp;IF(RIGHT(D73,3)="_EX"," Extend Solenoid","")&amp;IF(RIGHT(D73,3)="_RT"," Retract Solenoid","")&amp;IF(RIGHT(D73,3)="_FB"," Feedback","")&amp;IF(RIGHT(D73,4)="_FWD"," Forward","")&amp;IF(RIGHT(D73,4)="_REV"," Reverse","")&amp;IF(RIGHT(D73,4)="_CH1"," Channel 1","")&amp;IF(RIGHT(D73,4)="_CH2"," Channel 2","")&amp;IF(RIGHT(D73,4)="_EN1"," Enable 1","")&amp;IF(RIGHT(D73,4)="_EN2"," Enable 2","")&amp;IF(RIGHT(D73,3)="_E1"," Extend Reed 1","")&amp;IF(RIGHT(D73,3)="_E2"," Extend Reed 2","")&amp;IF(RIGHT(D73,3)="_R1"," Retract Reed 1","")&amp;IF(RIGHT(D73,3)="_R2"," Retract Reed 2","")&amp;IF(RIGHT(D73,4)="_RES"," Reset","")&amp;IF(RIGHT(D73,4)="_SP2"," Speed 2","")&amp;IF(RIGHT(D73,3)="_E3"," Extend Reed 3","")&amp;IF(RIGHT(D73,3)="_E4"," Extend Reed 4","")&amp;IF(RIGHT(D73,3)="_R3"," Retract Reed 3","")&amp;IF(RIGHT(D73,3)="_R4"," Retract Reed 4","")&amp;IF(RIGHT(D73,2)="_L"," Lock",""))</f>
        <v>Pneumatic Quick Exhaust Valve Enable 1</v>
      </c>
    </row>
    <row r="74" spans="1:9" ht="12.75" customHeight="1" x14ac:dyDescent="0.25">
      <c r="A74" s="106" t="s">
        <v>625</v>
      </c>
      <c r="B74" s="125" t="s">
        <v>629</v>
      </c>
      <c r="C74" s="64" t="str">
        <f t="shared" ref="C74:C76" si="11">A74&amp;B74</f>
        <v>ER4.Y2</v>
      </c>
      <c r="D74" s="62" t="s">
        <v>655</v>
      </c>
      <c r="E74" s="49" t="str">
        <f t="shared" si="10"/>
        <v>Pneumatic Quick Exhaust Valve Enable 2</v>
      </c>
    </row>
    <row r="75" spans="1:9" ht="12.75" customHeight="1" x14ac:dyDescent="0.25">
      <c r="A75" s="106" t="s">
        <v>625</v>
      </c>
      <c r="B75" s="125" t="s">
        <v>630</v>
      </c>
      <c r="C75" s="64" t="str">
        <f t="shared" si="11"/>
        <v>ER4.Y3</v>
      </c>
      <c r="D75" s="62"/>
      <c r="E75" s="49" t="str">
        <f t="shared" si="10"/>
        <v>Spare</v>
      </c>
    </row>
    <row r="76" spans="1:9" ht="12.75" customHeight="1" x14ac:dyDescent="0.25">
      <c r="A76" s="106" t="s">
        <v>625</v>
      </c>
      <c r="B76" s="125" t="s">
        <v>631</v>
      </c>
      <c r="C76" s="64" t="str">
        <f t="shared" si="11"/>
        <v>ER4.Y4</v>
      </c>
      <c r="D76" s="62"/>
      <c r="E76" s="49" t="str">
        <f t="shared" si="10"/>
        <v>Spare</v>
      </c>
    </row>
    <row r="77" spans="1:9" ht="14.25" customHeight="1" x14ac:dyDescent="0.25"/>
    <row r="78" spans="1:9" ht="14.25" customHeight="1" x14ac:dyDescent="0.25"/>
    <row r="79" spans="1:9" ht="14.25" customHeight="1" x14ac:dyDescent="0.25"/>
    <row r="80" spans="1:9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</sheetData>
  <mergeCells count="11">
    <mergeCell ref="B2:E2"/>
    <mergeCell ref="B3:E3"/>
    <mergeCell ref="B4:E4"/>
    <mergeCell ref="B5:E5"/>
    <mergeCell ref="B6:E6"/>
    <mergeCell ref="A72:E72"/>
    <mergeCell ref="A9:E9"/>
    <mergeCell ref="A26:E26"/>
    <mergeCell ref="A32:E32"/>
    <mergeCell ref="A49:E49"/>
    <mergeCell ref="A55:E55"/>
  </mergeCells>
  <pageMargins left="0.7" right="0.7" top="0.75" bottom="0.75" header="0" footer="0"/>
  <pageSetup paperSize="9" scale="7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outlinePr summaryBelow="0" summaryRight="0"/>
  </sheetPr>
  <dimension ref="A1:X58"/>
  <sheetViews>
    <sheetView tabSelected="1" zoomScale="75" zoomScaleNormal="75" workbookViewId="0">
      <selection activeCell="J9" sqref="J9"/>
    </sheetView>
  </sheetViews>
  <sheetFormatPr defaultColWidth="14.42578125" defaultRowHeight="15" customHeight="1" x14ac:dyDescent="0.25"/>
  <cols>
    <col min="2" max="2" width="14.5703125" customWidth="1"/>
  </cols>
  <sheetData>
    <row r="1" spans="1:24" x14ac:dyDescent="0.25"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</row>
    <row r="2" spans="1:24" x14ac:dyDescent="0.25"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</row>
    <row r="3" spans="1:24" ht="15.75" thickBot="1" x14ac:dyDescent="0.3"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</row>
    <row r="4" spans="1:24" ht="15.75" thickBot="1" x14ac:dyDescent="0.3">
      <c r="B4" s="156" t="s">
        <v>674</v>
      </c>
      <c r="C4" s="157"/>
      <c r="D4" s="157"/>
      <c r="E4" s="158"/>
      <c r="F4" s="136"/>
      <c r="G4" s="156" t="s">
        <v>674</v>
      </c>
      <c r="H4" s="157"/>
      <c r="I4" s="157"/>
      <c r="J4" s="158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</row>
    <row r="5" spans="1:24" x14ac:dyDescent="0.25">
      <c r="B5" s="96">
        <v>1</v>
      </c>
      <c r="C5" s="108" t="s">
        <v>656</v>
      </c>
      <c r="D5" s="108">
        <v>13</v>
      </c>
      <c r="E5" s="102" t="s">
        <v>657</v>
      </c>
      <c r="F5" s="136"/>
      <c r="G5" s="96">
        <v>1</v>
      </c>
      <c r="H5" s="99" t="s">
        <v>683</v>
      </c>
      <c r="I5" s="99">
        <v>13</v>
      </c>
      <c r="J5" s="103" t="s">
        <v>685</v>
      </c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</row>
    <row r="6" spans="1:24" ht="15.75" thickBot="1" x14ac:dyDescent="0.3">
      <c r="B6" s="97">
        <v>2</v>
      </c>
      <c r="C6" s="99" t="s">
        <v>658</v>
      </c>
      <c r="D6" s="99">
        <v>14</v>
      </c>
      <c r="E6" s="103" t="s">
        <v>659</v>
      </c>
      <c r="F6" s="136"/>
      <c r="G6" s="97">
        <v>2</v>
      </c>
      <c r="H6" s="105" t="s">
        <v>684</v>
      </c>
      <c r="I6" s="99">
        <v>14</v>
      </c>
      <c r="J6" s="104" t="s">
        <v>686</v>
      </c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</row>
    <row r="7" spans="1:24" x14ac:dyDescent="0.25">
      <c r="B7" s="97">
        <v>3</v>
      </c>
      <c r="C7" s="99" t="s">
        <v>660</v>
      </c>
      <c r="D7" s="99">
        <v>15</v>
      </c>
      <c r="E7" s="103" t="s">
        <v>666</v>
      </c>
      <c r="F7" s="136"/>
      <c r="G7" s="97">
        <v>3</v>
      </c>
      <c r="H7" s="99" t="s">
        <v>675</v>
      </c>
      <c r="I7" s="99">
        <v>15</v>
      </c>
      <c r="J7" s="99" t="s">
        <v>676</v>
      </c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</row>
    <row r="8" spans="1:24" x14ac:dyDescent="0.25">
      <c r="B8" s="97">
        <v>4</v>
      </c>
      <c r="C8" s="99" t="s">
        <v>661</v>
      </c>
      <c r="D8" s="99">
        <v>16</v>
      </c>
      <c r="E8" s="103" t="s">
        <v>667</v>
      </c>
      <c r="F8" s="136"/>
      <c r="G8" s="97">
        <v>4</v>
      </c>
      <c r="H8" s="99" t="s">
        <v>677</v>
      </c>
      <c r="I8" s="99">
        <v>16</v>
      </c>
      <c r="J8" s="99" t="s">
        <v>678</v>
      </c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</row>
    <row r="9" spans="1:24" x14ac:dyDescent="0.25">
      <c r="B9" s="97">
        <v>5</v>
      </c>
      <c r="C9" s="99" t="s">
        <v>662</v>
      </c>
      <c r="D9" s="99">
        <v>17</v>
      </c>
      <c r="E9" s="103" t="s">
        <v>668</v>
      </c>
      <c r="F9" s="136"/>
      <c r="G9" s="97">
        <v>5</v>
      </c>
      <c r="H9" s="99" t="s">
        <v>687</v>
      </c>
      <c r="I9" s="99">
        <v>17</v>
      </c>
      <c r="J9" s="103" t="s">
        <v>688</v>
      </c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</row>
    <row r="10" spans="1:24" x14ac:dyDescent="0.25">
      <c r="B10" s="97">
        <v>6</v>
      </c>
      <c r="C10" s="99" t="s">
        <v>663</v>
      </c>
      <c r="D10" s="99">
        <v>18</v>
      </c>
      <c r="E10" s="103" t="s">
        <v>669</v>
      </c>
      <c r="F10" s="136"/>
      <c r="G10" s="97">
        <v>6</v>
      </c>
      <c r="H10" s="99" t="s">
        <v>217</v>
      </c>
      <c r="I10" s="99">
        <v>18</v>
      </c>
      <c r="J10" s="99" t="s">
        <v>219</v>
      </c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</row>
    <row r="11" spans="1:24" x14ac:dyDescent="0.25">
      <c r="B11" s="97">
        <v>7</v>
      </c>
      <c r="C11" s="99" t="s">
        <v>664</v>
      </c>
      <c r="D11" s="99">
        <v>19</v>
      </c>
      <c r="E11" s="103" t="s">
        <v>657</v>
      </c>
      <c r="F11" s="136"/>
      <c r="G11" s="97">
        <v>7</v>
      </c>
      <c r="H11" s="99" t="s">
        <v>218</v>
      </c>
      <c r="I11" s="99">
        <v>19</v>
      </c>
      <c r="J11" s="99" t="s">
        <v>220</v>
      </c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</row>
    <row r="12" spans="1:24" x14ac:dyDescent="0.25">
      <c r="B12" s="97">
        <v>8</v>
      </c>
      <c r="C12" s="99" t="s">
        <v>665</v>
      </c>
      <c r="D12" s="99">
        <v>20</v>
      </c>
      <c r="E12" s="103" t="s">
        <v>670</v>
      </c>
      <c r="F12" s="136"/>
      <c r="G12" s="97">
        <v>8</v>
      </c>
      <c r="H12" s="99" t="s">
        <v>681</v>
      </c>
      <c r="I12" s="99">
        <v>20</v>
      </c>
      <c r="J12" s="99" t="s">
        <v>682</v>
      </c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</row>
    <row r="13" spans="1:24" ht="15" customHeight="1" x14ac:dyDescent="0.25">
      <c r="A13" s="136"/>
      <c r="B13" s="97">
        <v>9</v>
      </c>
      <c r="C13" s="99" t="s">
        <v>671</v>
      </c>
      <c r="D13" s="99">
        <v>21</v>
      </c>
      <c r="E13" s="103" t="s">
        <v>673</v>
      </c>
      <c r="F13" s="136"/>
      <c r="G13" s="97">
        <v>9</v>
      </c>
      <c r="H13" s="99" t="s">
        <v>593</v>
      </c>
      <c r="I13" s="99">
        <v>21</v>
      </c>
      <c r="J13" s="99" t="s">
        <v>680</v>
      </c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</row>
    <row r="14" spans="1:24" ht="15" customHeight="1" x14ac:dyDescent="0.25">
      <c r="A14" s="136"/>
      <c r="B14" s="97">
        <v>10</v>
      </c>
      <c r="C14" s="99" t="s">
        <v>671</v>
      </c>
      <c r="D14" s="99">
        <v>22</v>
      </c>
      <c r="E14" s="103" t="s">
        <v>673</v>
      </c>
      <c r="F14" s="136"/>
      <c r="G14" s="97">
        <v>10</v>
      </c>
      <c r="H14" s="99" t="s">
        <v>679</v>
      </c>
      <c r="I14" s="99">
        <v>22</v>
      </c>
      <c r="J14" s="103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</row>
    <row r="15" spans="1:24" ht="15" customHeight="1" x14ac:dyDescent="0.25">
      <c r="A15" s="136"/>
      <c r="B15" s="97">
        <v>11</v>
      </c>
      <c r="C15" s="99" t="s">
        <v>550</v>
      </c>
      <c r="D15" s="99">
        <v>23</v>
      </c>
      <c r="E15" s="103" t="s">
        <v>672</v>
      </c>
      <c r="F15" s="136"/>
      <c r="G15" s="97">
        <v>11</v>
      </c>
      <c r="H15" s="99"/>
      <c r="I15" s="99">
        <v>23</v>
      </c>
      <c r="J15" s="103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</row>
    <row r="16" spans="1:24" ht="15" customHeight="1" thickBot="1" x14ac:dyDescent="0.3">
      <c r="A16" s="136"/>
      <c r="B16" s="98">
        <v>12</v>
      </c>
      <c r="C16" s="105" t="s">
        <v>552</v>
      </c>
      <c r="D16" s="105">
        <v>24</v>
      </c>
      <c r="E16" s="104" t="s">
        <v>551</v>
      </c>
      <c r="F16" s="136"/>
      <c r="G16" s="98">
        <v>12</v>
      </c>
      <c r="H16" s="105"/>
      <c r="I16" s="105">
        <v>24</v>
      </c>
      <c r="J16" s="104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</row>
    <row r="17" spans="1:24" ht="15" customHeight="1" x14ac:dyDescent="0.25">
      <c r="A17" s="136"/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</row>
    <row r="18" spans="1:24" ht="15" customHeight="1" x14ac:dyDescent="0.25">
      <c r="A18" s="136"/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</row>
    <row r="19" spans="1:24" ht="15" customHeight="1" x14ac:dyDescent="0.25">
      <c r="A19" s="136"/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</row>
    <row r="20" spans="1:24" ht="15" customHeight="1" x14ac:dyDescent="0.25">
      <c r="A20" s="136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</row>
    <row r="21" spans="1:24" ht="15" customHeight="1" x14ac:dyDescent="0.25">
      <c r="A21" s="136"/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</row>
    <row r="22" spans="1:24" ht="15" customHeight="1" x14ac:dyDescent="0.25">
      <c r="A22" s="136"/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</row>
    <row r="23" spans="1:24" ht="15" customHeight="1" x14ac:dyDescent="0.25">
      <c r="A23" s="136"/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</row>
    <row r="24" spans="1:24" ht="15" customHeight="1" x14ac:dyDescent="0.25">
      <c r="A24" s="136"/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</row>
    <row r="25" spans="1:24" ht="15" customHeight="1" x14ac:dyDescent="0.25">
      <c r="A25" s="136"/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</row>
    <row r="26" spans="1:24" ht="15" customHeight="1" x14ac:dyDescent="0.25">
      <c r="A26" s="136"/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</row>
    <row r="27" spans="1:24" ht="15" customHeight="1" x14ac:dyDescent="0.25">
      <c r="A27" s="136"/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</row>
    <row r="28" spans="1:24" ht="15" customHeight="1" x14ac:dyDescent="0.25">
      <c r="A28" s="136"/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</row>
    <row r="29" spans="1:24" ht="15" customHeight="1" x14ac:dyDescent="0.25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</row>
    <row r="30" spans="1:24" ht="15" customHeight="1" x14ac:dyDescent="0.25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</row>
    <row r="31" spans="1:24" ht="15" customHeight="1" x14ac:dyDescent="0.25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</row>
    <row r="32" spans="1:24" ht="15" customHeight="1" x14ac:dyDescent="0.25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</row>
    <row r="33" spans="1:24" ht="15" customHeight="1" x14ac:dyDescent="0.25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</row>
    <row r="34" spans="1:24" ht="15" customHeight="1" x14ac:dyDescent="0.25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</row>
    <row r="35" spans="1:24" ht="15" customHeight="1" x14ac:dyDescent="0.25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</row>
    <row r="36" spans="1:24" ht="15" customHeight="1" x14ac:dyDescent="0.25">
      <c r="A36" s="136"/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</row>
    <row r="37" spans="1:24" ht="15" customHeight="1" x14ac:dyDescent="0.25">
      <c r="A37" s="136"/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</row>
    <row r="38" spans="1:24" ht="15" customHeight="1" x14ac:dyDescent="0.25">
      <c r="A38" s="136"/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</row>
    <row r="39" spans="1:24" ht="15" customHeight="1" x14ac:dyDescent="0.25">
      <c r="A39" s="136"/>
      <c r="B39" s="136"/>
      <c r="C39" s="136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</row>
    <row r="40" spans="1:24" ht="15" customHeight="1" x14ac:dyDescent="0.25">
      <c r="A40" s="136"/>
      <c r="B40" s="136"/>
      <c r="C40" s="136"/>
      <c r="D40" s="136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</row>
    <row r="41" spans="1:24" ht="15" customHeight="1" x14ac:dyDescent="0.25">
      <c r="A41" s="136"/>
      <c r="B41" s="136"/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</row>
    <row r="42" spans="1:24" ht="15" customHeight="1" x14ac:dyDescent="0.25">
      <c r="A42" s="136"/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</row>
    <row r="43" spans="1:24" ht="15" customHeight="1" x14ac:dyDescent="0.25">
      <c r="A43" s="136"/>
      <c r="B43" s="136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</row>
    <row r="44" spans="1:24" ht="15" customHeight="1" x14ac:dyDescent="0.25">
      <c r="A44" s="136"/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</row>
    <row r="45" spans="1:24" ht="15" customHeight="1" x14ac:dyDescent="0.25">
      <c r="A45" s="136"/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</row>
    <row r="57" spans="9:11" ht="15" customHeight="1" x14ac:dyDescent="0.25">
      <c r="I57" s="97">
        <v>15</v>
      </c>
      <c r="J57" s="100" t="s">
        <v>553</v>
      </c>
      <c r="K57" s="103">
        <v>15</v>
      </c>
    </row>
    <row r="58" spans="9:11" ht="15" customHeight="1" thickBot="1" x14ac:dyDescent="0.3">
      <c r="I58" s="98">
        <v>16</v>
      </c>
      <c r="J58" s="101" t="s">
        <v>553</v>
      </c>
      <c r="K58" s="104">
        <v>16</v>
      </c>
    </row>
  </sheetData>
  <mergeCells count="2">
    <mergeCell ref="B4:E4"/>
    <mergeCell ref="G4:J4"/>
  </mergeCells>
  <pageMargins left="0.7" right="0.7" top="0.75" bottom="0.75" header="0.3" footer="0.3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C278"/>
  <sheetViews>
    <sheetView zoomScale="145" zoomScaleNormal="145" workbookViewId="0">
      <selection activeCell="A22" sqref="A22"/>
    </sheetView>
  </sheetViews>
  <sheetFormatPr defaultColWidth="9.140625" defaultRowHeight="12.75" x14ac:dyDescent="0.2"/>
  <cols>
    <col min="1" max="1" width="32.85546875" style="69" bestFit="1" customWidth="1"/>
    <col min="2" max="2" width="47.28515625" style="69" bestFit="1" customWidth="1"/>
    <col min="3" max="3" width="19.85546875" style="77" bestFit="1" customWidth="1"/>
    <col min="4" max="16384" width="9.140625" style="69"/>
  </cols>
  <sheetData>
    <row r="1" spans="1:3" ht="13.5" thickBot="1" x14ac:dyDescent="0.25">
      <c r="A1" s="159" t="s">
        <v>221</v>
      </c>
      <c r="B1" s="160"/>
    </row>
    <row r="2" spans="1:3" x14ac:dyDescent="0.2">
      <c r="A2" s="78" t="s">
        <v>222</v>
      </c>
      <c r="B2" s="79" t="s">
        <v>223</v>
      </c>
    </row>
    <row r="3" spans="1:3" x14ac:dyDescent="0.2">
      <c r="A3" s="80" t="s">
        <v>224</v>
      </c>
      <c r="B3" s="81" t="s">
        <v>225</v>
      </c>
    </row>
    <row r="4" spans="1:3" ht="11.25" customHeight="1" thickBot="1" x14ac:dyDescent="0.25"/>
    <row r="5" spans="1:3" ht="13.5" thickBot="1" x14ac:dyDescent="0.25">
      <c r="A5" s="82" t="s">
        <v>226</v>
      </c>
      <c r="B5" s="83" t="s">
        <v>1</v>
      </c>
      <c r="C5" s="83" t="s">
        <v>227</v>
      </c>
    </row>
    <row r="6" spans="1:3" x14ac:dyDescent="0.2">
      <c r="A6" s="112" t="s">
        <v>228</v>
      </c>
      <c r="B6" s="113" t="s">
        <v>229</v>
      </c>
      <c r="C6" s="111">
        <v>10</v>
      </c>
    </row>
    <row r="7" spans="1:3" x14ac:dyDescent="0.2">
      <c r="A7" s="78" t="s">
        <v>157</v>
      </c>
      <c r="B7" s="79" t="s">
        <v>230</v>
      </c>
      <c r="C7" s="111">
        <v>11</v>
      </c>
    </row>
    <row r="8" spans="1:3" x14ac:dyDescent="0.2">
      <c r="A8" s="80" t="s">
        <v>165</v>
      </c>
      <c r="B8" s="84" t="s">
        <v>231</v>
      </c>
      <c r="C8" s="111">
        <v>12</v>
      </c>
    </row>
    <row r="9" spans="1:3" x14ac:dyDescent="0.2">
      <c r="A9" s="80" t="s">
        <v>174</v>
      </c>
      <c r="B9" s="85" t="s">
        <v>180</v>
      </c>
      <c r="C9" s="111">
        <v>13</v>
      </c>
    </row>
    <row r="10" spans="1:3" x14ac:dyDescent="0.2">
      <c r="A10" s="80" t="s">
        <v>150</v>
      </c>
      <c r="B10" s="81" t="s">
        <v>232</v>
      </c>
      <c r="C10" s="111">
        <v>14</v>
      </c>
    </row>
    <row r="11" spans="1:3" x14ac:dyDescent="0.2">
      <c r="A11" s="80" t="s">
        <v>167</v>
      </c>
      <c r="B11" s="81" t="s">
        <v>233</v>
      </c>
      <c r="C11" s="111">
        <v>15</v>
      </c>
    </row>
    <row r="12" spans="1:3" x14ac:dyDescent="0.2">
      <c r="A12" s="80" t="s">
        <v>173</v>
      </c>
      <c r="B12" s="81" t="s">
        <v>234</v>
      </c>
      <c r="C12" s="111">
        <v>16</v>
      </c>
    </row>
    <row r="13" spans="1:3" x14ac:dyDescent="0.2">
      <c r="A13" s="80" t="s">
        <v>172</v>
      </c>
      <c r="B13" s="84" t="s">
        <v>235</v>
      </c>
      <c r="C13" s="111">
        <v>17</v>
      </c>
    </row>
    <row r="14" spans="1:3" x14ac:dyDescent="0.2">
      <c r="A14" s="80" t="s">
        <v>166</v>
      </c>
      <c r="B14" s="81" t="s">
        <v>236</v>
      </c>
      <c r="C14" s="111">
        <v>18</v>
      </c>
    </row>
    <row r="15" spans="1:3" x14ac:dyDescent="0.2">
      <c r="A15" s="80" t="s">
        <v>237</v>
      </c>
      <c r="B15" s="81" t="s">
        <v>238</v>
      </c>
      <c r="C15" s="111">
        <v>19</v>
      </c>
    </row>
    <row r="16" spans="1:3" x14ac:dyDescent="0.2">
      <c r="A16" s="80" t="s">
        <v>99</v>
      </c>
      <c r="B16" s="81" t="s">
        <v>239</v>
      </c>
      <c r="C16" s="111">
        <v>20</v>
      </c>
    </row>
    <row r="17" spans="1:3" x14ac:dyDescent="0.2">
      <c r="A17" s="80" t="s">
        <v>98</v>
      </c>
      <c r="B17" s="81" t="s">
        <v>240</v>
      </c>
      <c r="C17" s="111">
        <v>21</v>
      </c>
    </row>
    <row r="18" spans="1:3" x14ac:dyDescent="0.2">
      <c r="A18" s="80" t="s">
        <v>127</v>
      </c>
      <c r="B18" s="81" t="s">
        <v>241</v>
      </c>
      <c r="C18" s="111">
        <v>22</v>
      </c>
    </row>
    <row r="19" spans="1:3" x14ac:dyDescent="0.2">
      <c r="A19" s="80" t="s">
        <v>242</v>
      </c>
      <c r="B19" s="81" t="s">
        <v>243</v>
      </c>
      <c r="C19" s="111">
        <v>23</v>
      </c>
    </row>
    <row r="20" spans="1:3" x14ac:dyDescent="0.2">
      <c r="A20" s="80" t="s">
        <v>137</v>
      </c>
      <c r="B20" s="81" t="s">
        <v>244</v>
      </c>
      <c r="C20" s="111">
        <v>24</v>
      </c>
    </row>
    <row r="21" spans="1:3" x14ac:dyDescent="0.2">
      <c r="A21" s="80" t="s">
        <v>153</v>
      </c>
      <c r="B21" s="81" t="s">
        <v>245</v>
      </c>
      <c r="C21" s="111">
        <v>25</v>
      </c>
    </row>
    <row r="22" spans="1:3" x14ac:dyDescent="0.2">
      <c r="A22" s="80" t="s">
        <v>246</v>
      </c>
      <c r="B22" s="81" t="s">
        <v>247</v>
      </c>
      <c r="C22" s="111">
        <v>26</v>
      </c>
    </row>
    <row r="23" spans="1:3" x14ac:dyDescent="0.2">
      <c r="A23" s="80" t="s">
        <v>186</v>
      </c>
      <c r="B23" s="85" t="s">
        <v>248</v>
      </c>
      <c r="C23" s="111">
        <v>27</v>
      </c>
    </row>
    <row r="24" spans="1:3" x14ac:dyDescent="0.2">
      <c r="A24" s="80" t="s">
        <v>249</v>
      </c>
      <c r="B24" s="85" t="s">
        <v>250</v>
      </c>
      <c r="C24" s="111">
        <v>28</v>
      </c>
    </row>
    <row r="25" spans="1:3" x14ac:dyDescent="0.2">
      <c r="A25" s="80" t="s">
        <v>115</v>
      </c>
      <c r="B25" s="85" t="s">
        <v>251</v>
      </c>
      <c r="C25" s="111">
        <v>29</v>
      </c>
    </row>
    <row r="26" spans="1:3" x14ac:dyDescent="0.2">
      <c r="A26" s="80" t="s">
        <v>113</v>
      </c>
      <c r="B26" s="85" t="s">
        <v>252</v>
      </c>
      <c r="C26" s="111">
        <v>30</v>
      </c>
    </row>
    <row r="27" spans="1:3" x14ac:dyDescent="0.2">
      <c r="A27" s="80" t="s">
        <v>110</v>
      </c>
      <c r="B27" s="85" t="s">
        <v>253</v>
      </c>
      <c r="C27" s="111">
        <v>31</v>
      </c>
    </row>
    <row r="28" spans="1:3" x14ac:dyDescent="0.2">
      <c r="A28" s="80" t="s">
        <v>254</v>
      </c>
      <c r="B28" s="85" t="s">
        <v>255</v>
      </c>
      <c r="C28" s="111">
        <v>32</v>
      </c>
    </row>
    <row r="29" spans="1:3" x14ac:dyDescent="0.2">
      <c r="A29" s="80" t="s">
        <v>256</v>
      </c>
      <c r="B29" s="85" t="s">
        <v>257</v>
      </c>
      <c r="C29" s="111">
        <v>33</v>
      </c>
    </row>
    <row r="30" spans="1:3" x14ac:dyDescent="0.2">
      <c r="A30" s="80" t="s">
        <v>258</v>
      </c>
      <c r="B30" s="85" t="s">
        <v>259</v>
      </c>
      <c r="C30" s="111">
        <v>34</v>
      </c>
    </row>
    <row r="31" spans="1:3" x14ac:dyDescent="0.2">
      <c r="A31" s="80" t="s">
        <v>260</v>
      </c>
      <c r="B31" s="85" t="s">
        <v>261</v>
      </c>
      <c r="C31" s="111">
        <v>34</v>
      </c>
    </row>
    <row r="32" spans="1:3" x14ac:dyDescent="0.2">
      <c r="A32" s="80" t="s">
        <v>262</v>
      </c>
      <c r="B32" s="85" t="s">
        <v>263</v>
      </c>
      <c r="C32" s="111">
        <v>35</v>
      </c>
    </row>
    <row r="33" spans="1:3" x14ac:dyDescent="0.2">
      <c r="A33" s="80" t="s">
        <v>580</v>
      </c>
      <c r="B33" s="85" t="s">
        <v>581</v>
      </c>
      <c r="C33" s="111">
        <v>36</v>
      </c>
    </row>
    <row r="34" spans="1:3" ht="13.5" thickBot="1" x14ac:dyDescent="0.25">
      <c r="A34" s="110" t="s">
        <v>578</v>
      </c>
      <c r="B34" s="114" t="s">
        <v>579</v>
      </c>
      <c r="C34" s="111">
        <v>37</v>
      </c>
    </row>
    <row r="35" spans="1:3" ht="13.5" thickBot="1" x14ac:dyDescent="0.25">
      <c r="A35" s="70"/>
      <c r="C35" s="109"/>
    </row>
    <row r="36" spans="1:3" ht="13.5" thickBot="1" x14ac:dyDescent="0.25">
      <c r="A36" s="82" t="s">
        <v>264</v>
      </c>
      <c r="B36" s="83" t="s">
        <v>1</v>
      </c>
    </row>
    <row r="37" spans="1:3" x14ac:dyDescent="0.2">
      <c r="A37" s="86" t="s">
        <v>265</v>
      </c>
      <c r="B37" s="79" t="s">
        <v>266</v>
      </c>
    </row>
    <row r="38" spans="1:3" x14ac:dyDescent="0.2">
      <c r="A38" s="86" t="s">
        <v>267</v>
      </c>
      <c r="B38" s="79" t="s">
        <v>268</v>
      </c>
    </row>
    <row r="39" spans="1:3" x14ac:dyDescent="0.2">
      <c r="A39" s="86" t="s">
        <v>269</v>
      </c>
      <c r="B39" s="79" t="s">
        <v>270</v>
      </c>
    </row>
    <row r="40" spans="1:3" x14ac:dyDescent="0.2">
      <c r="A40" s="86" t="s">
        <v>271</v>
      </c>
      <c r="B40" s="79" t="s">
        <v>272</v>
      </c>
    </row>
    <row r="41" spans="1:3" x14ac:dyDescent="0.2">
      <c r="A41" s="86" t="s">
        <v>273</v>
      </c>
      <c r="B41" s="79" t="s">
        <v>274</v>
      </c>
    </row>
    <row r="42" spans="1:3" x14ac:dyDescent="0.2">
      <c r="A42" s="86" t="s">
        <v>275</v>
      </c>
      <c r="B42" s="79" t="s">
        <v>276</v>
      </c>
    </row>
    <row r="43" spans="1:3" x14ac:dyDescent="0.2">
      <c r="A43" s="86" t="s">
        <v>277</v>
      </c>
      <c r="B43" s="79" t="s">
        <v>278</v>
      </c>
    </row>
    <row r="44" spans="1:3" x14ac:dyDescent="0.2">
      <c r="A44" s="86" t="s">
        <v>279</v>
      </c>
      <c r="B44" s="79" t="s">
        <v>280</v>
      </c>
    </row>
    <row r="45" spans="1:3" ht="13.5" thickBot="1" x14ac:dyDescent="0.25">
      <c r="A45" s="87" t="s">
        <v>281</v>
      </c>
      <c r="B45" s="88" t="s">
        <v>282</v>
      </c>
    </row>
    <row r="46" spans="1:3" ht="13.5" thickBot="1" x14ac:dyDescent="0.25">
      <c r="A46" s="72"/>
      <c r="B46" s="72"/>
    </row>
    <row r="47" spans="1:3" ht="13.5" thickBot="1" x14ac:dyDescent="0.25">
      <c r="A47" s="82" t="s">
        <v>12</v>
      </c>
      <c r="B47" s="83" t="s">
        <v>1</v>
      </c>
    </row>
    <row r="48" spans="1:3" x14ac:dyDescent="0.2">
      <c r="A48" s="86" t="s">
        <v>139</v>
      </c>
      <c r="B48" s="79"/>
    </row>
    <row r="49" spans="1:2" x14ac:dyDescent="0.2">
      <c r="A49" s="86" t="s">
        <v>125</v>
      </c>
      <c r="B49" s="79"/>
    </row>
    <row r="50" spans="1:2" x14ac:dyDescent="0.2">
      <c r="A50" s="86" t="s">
        <v>180</v>
      </c>
      <c r="B50" s="79"/>
    </row>
    <row r="51" spans="1:2" x14ac:dyDescent="0.2">
      <c r="A51" s="86" t="s">
        <v>176</v>
      </c>
      <c r="B51" s="79"/>
    </row>
    <row r="52" spans="1:2" x14ac:dyDescent="0.2">
      <c r="A52" s="86" t="s">
        <v>178</v>
      </c>
      <c r="B52" s="79"/>
    </row>
    <row r="53" spans="1:2" x14ac:dyDescent="0.2">
      <c r="A53" s="86" t="s">
        <v>283</v>
      </c>
      <c r="B53" s="79"/>
    </row>
    <row r="54" spans="1:2" x14ac:dyDescent="0.2">
      <c r="A54" s="86" t="s">
        <v>284</v>
      </c>
      <c r="B54" s="79"/>
    </row>
    <row r="55" spans="1:2" x14ac:dyDescent="0.2">
      <c r="A55" s="86" t="s">
        <v>285</v>
      </c>
      <c r="B55" s="79"/>
    </row>
    <row r="56" spans="1:2" x14ac:dyDescent="0.2">
      <c r="A56" s="86" t="s">
        <v>286</v>
      </c>
      <c r="B56" s="79"/>
    </row>
    <row r="57" spans="1:2" x14ac:dyDescent="0.2">
      <c r="A57" s="86" t="s">
        <v>287</v>
      </c>
      <c r="B57" s="79"/>
    </row>
    <row r="58" spans="1:2" x14ac:dyDescent="0.2">
      <c r="A58" s="86" t="s">
        <v>288</v>
      </c>
      <c r="B58" s="79"/>
    </row>
    <row r="59" spans="1:2" x14ac:dyDescent="0.2">
      <c r="A59" s="86" t="s">
        <v>289</v>
      </c>
      <c r="B59" s="79"/>
    </row>
    <row r="60" spans="1:2" x14ac:dyDescent="0.2">
      <c r="A60" s="86" t="s">
        <v>290</v>
      </c>
      <c r="B60" s="79"/>
    </row>
    <row r="61" spans="1:2" x14ac:dyDescent="0.2">
      <c r="A61" s="86" t="s">
        <v>291</v>
      </c>
      <c r="B61" s="79"/>
    </row>
    <row r="62" spans="1:2" x14ac:dyDescent="0.2">
      <c r="A62" s="86" t="s">
        <v>292</v>
      </c>
      <c r="B62" s="79"/>
    </row>
    <row r="63" spans="1:2" x14ac:dyDescent="0.2">
      <c r="A63" s="86" t="s">
        <v>293</v>
      </c>
      <c r="B63" s="79"/>
    </row>
    <row r="64" spans="1:2" x14ac:dyDescent="0.2">
      <c r="A64" s="86" t="s">
        <v>294</v>
      </c>
      <c r="B64" s="79"/>
    </row>
    <row r="65" spans="1:2" x14ac:dyDescent="0.2">
      <c r="A65" s="86" t="s">
        <v>243</v>
      </c>
      <c r="B65" s="79"/>
    </row>
    <row r="66" spans="1:2" ht="13.5" thickBot="1" x14ac:dyDescent="0.25">
      <c r="A66" s="72"/>
      <c r="B66" s="72"/>
    </row>
    <row r="67" spans="1:2" ht="13.5" thickBot="1" x14ac:dyDescent="0.25">
      <c r="A67" s="82" t="s">
        <v>295</v>
      </c>
      <c r="B67" s="83" t="s">
        <v>296</v>
      </c>
    </row>
    <row r="68" spans="1:2" x14ac:dyDescent="0.2">
      <c r="A68" s="86" t="s">
        <v>7</v>
      </c>
      <c r="B68" s="79" t="s">
        <v>297</v>
      </c>
    </row>
    <row r="69" spans="1:2" x14ac:dyDescent="0.2">
      <c r="A69" s="86" t="s">
        <v>10</v>
      </c>
      <c r="B69" s="79" t="s">
        <v>298</v>
      </c>
    </row>
    <row r="70" spans="1:2" x14ac:dyDescent="0.2">
      <c r="A70" s="86" t="s">
        <v>13</v>
      </c>
      <c r="B70" s="79" t="s">
        <v>12</v>
      </c>
    </row>
    <row r="71" spans="1:2" x14ac:dyDescent="0.2">
      <c r="A71" s="86"/>
      <c r="B71" s="79"/>
    </row>
    <row r="72" spans="1:2" x14ac:dyDescent="0.2">
      <c r="A72" s="72"/>
      <c r="B72" s="72"/>
    </row>
    <row r="73" spans="1:2" x14ac:dyDescent="0.2">
      <c r="A73" s="72"/>
      <c r="B73" s="72"/>
    </row>
    <row r="74" spans="1:2" x14ac:dyDescent="0.2">
      <c r="A74" s="72"/>
      <c r="B74" s="72"/>
    </row>
    <row r="75" spans="1:2" x14ac:dyDescent="0.2">
      <c r="A75" s="72"/>
      <c r="B75" s="72"/>
    </row>
    <row r="76" spans="1:2" x14ac:dyDescent="0.2">
      <c r="A76" s="72"/>
      <c r="B76" s="72"/>
    </row>
    <row r="77" spans="1:2" x14ac:dyDescent="0.2">
      <c r="A77" s="72"/>
      <c r="B77" s="72"/>
    </row>
    <row r="78" spans="1:2" ht="13.5" thickBot="1" x14ac:dyDescent="0.25"/>
    <row r="79" spans="1:2" ht="13.5" thickBot="1" x14ac:dyDescent="0.25">
      <c r="A79" s="161" t="s">
        <v>299</v>
      </c>
      <c r="B79" s="160"/>
    </row>
    <row r="80" spans="1:2" ht="13.5" thickBot="1" x14ac:dyDescent="0.25">
      <c r="A80" s="82" t="s">
        <v>226</v>
      </c>
      <c r="B80" s="83" t="s">
        <v>1</v>
      </c>
    </row>
    <row r="81" spans="1:2" x14ac:dyDescent="0.2">
      <c r="A81" s="78" t="s">
        <v>300</v>
      </c>
      <c r="B81" s="89" t="s">
        <v>301</v>
      </c>
    </row>
    <row r="82" spans="1:2" x14ac:dyDescent="0.2">
      <c r="A82" s="80" t="s">
        <v>32</v>
      </c>
      <c r="B82" s="81" t="s">
        <v>302</v>
      </c>
    </row>
    <row r="83" spans="1:2" x14ac:dyDescent="0.2">
      <c r="A83" s="80" t="s">
        <v>34</v>
      </c>
      <c r="B83" s="81" t="s">
        <v>303</v>
      </c>
    </row>
    <row r="84" spans="1:2" x14ac:dyDescent="0.2">
      <c r="A84" s="80" t="s">
        <v>36</v>
      </c>
      <c r="B84" s="81" t="s">
        <v>304</v>
      </c>
    </row>
    <row r="85" spans="1:2" x14ac:dyDescent="0.2">
      <c r="A85" s="80" t="s">
        <v>38</v>
      </c>
      <c r="B85" s="81" t="s">
        <v>305</v>
      </c>
    </row>
    <row r="86" spans="1:2" x14ac:dyDescent="0.2">
      <c r="A86" s="80" t="s">
        <v>40</v>
      </c>
      <c r="B86" s="81" t="s">
        <v>306</v>
      </c>
    </row>
    <row r="87" spans="1:2" x14ac:dyDescent="0.2">
      <c r="A87" s="80" t="s">
        <v>42</v>
      </c>
      <c r="B87" s="81" t="s">
        <v>307</v>
      </c>
    </row>
    <row r="88" spans="1:2" x14ac:dyDescent="0.2">
      <c r="A88" s="80" t="s">
        <v>44</v>
      </c>
      <c r="B88" s="81"/>
    </row>
    <row r="89" spans="1:2" x14ac:dyDescent="0.2">
      <c r="A89" s="80" t="s">
        <v>46</v>
      </c>
      <c r="B89" s="81"/>
    </row>
    <row r="90" spans="1:2" x14ac:dyDescent="0.2">
      <c r="A90" s="80" t="s">
        <v>48</v>
      </c>
      <c r="B90" s="81"/>
    </row>
    <row r="91" spans="1:2" x14ac:dyDescent="0.2">
      <c r="A91" s="80" t="s">
        <v>155</v>
      </c>
      <c r="B91" s="81"/>
    </row>
    <row r="92" spans="1:2" x14ac:dyDescent="0.2">
      <c r="A92" s="80" t="s">
        <v>121</v>
      </c>
      <c r="B92" s="81"/>
    </row>
    <row r="93" spans="1:2" x14ac:dyDescent="0.2">
      <c r="A93" s="80" t="s">
        <v>51</v>
      </c>
      <c r="B93" s="81"/>
    </row>
    <row r="94" spans="1:2" x14ac:dyDescent="0.2">
      <c r="A94" s="80" t="s">
        <v>53</v>
      </c>
      <c r="B94" s="81"/>
    </row>
    <row r="95" spans="1:2" x14ac:dyDescent="0.2">
      <c r="A95" s="80" t="s">
        <v>55</v>
      </c>
      <c r="B95" s="81" t="s">
        <v>308</v>
      </c>
    </row>
    <row r="96" spans="1:2" x14ac:dyDescent="0.2">
      <c r="A96" s="80" t="s">
        <v>56</v>
      </c>
      <c r="B96" s="81" t="s">
        <v>308</v>
      </c>
    </row>
    <row r="97" spans="1:2" x14ac:dyDescent="0.2">
      <c r="A97" s="80" t="s">
        <v>57</v>
      </c>
      <c r="B97" s="81" t="s">
        <v>308</v>
      </c>
    </row>
    <row r="98" spans="1:2" x14ac:dyDescent="0.2">
      <c r="A98" s="80" t="s">
        <v>58</v>
      </c>
      <c r="B98" s="81" t="s">
        <v>308</v>
      </c>
    </row>
    <row r="99" spans="1:2" x14ac:dyDescent="0.2">
      <c r="A99" s="80" t="s">
        <v>59</v>
      </c>
      <c r="B99" s="81" t="s">
        <v>308</v>
      </c>
    </row>
    <row r="100" spans="1:2" x14ac:dyDescent="0.2">
      <c r="A100" s="80" t="s">
        <v>60</v>
      </c>
      <c r="B100" s="81" t="s">
        <v>308</v>
      </c>
    </row>
    <row r="101" spans="1:2" x14ac:dyDescent="0.2">
      <c r="A101" s="80" t="s">
        <v>61</v>
      </c>
      <c r="B101" s="81" t="s">
        <v>308</v>
      </c>
    </row>
    <row r="102" spans="1:2" x14ac:dyDescent="0.2">
      <c r="A102" s="80" t="s">
        <v>62</v>
      </c>
      <c r="B102" s="81" t="s">
        <v>308</v>
      </c>
    </row>
    <row r="103" spans="1:2" x14ac:dyDescent="0.2">
      <c r="A103" s="80" t="s">
        <v>63</v>
      </c>
      <c r="B103" s="81" t="s">
        <v>308</v>
      </c>
    </row>
    <row r="104" spans="1:2" x14ac:dyDescent="0.2">
      <c r="A104" s="80" t="s">
        <v>145</v>
      </c>
      <c r="B104" s="81" t="s">
        <v>308</v>
      </c>
    </row>
    <row r="105" spans="1:2" x14ac:dyDescent="0.2">
      <c r="A105" s="80" t="s">
        <v>309</v>
      </c>
      <c r="B105" s="81" t="s">
        <v>308</v>
      </c>
    </row>
    <row r="106" spans="1:2" x14ac:dyDescent="0.2">
      <c r="A106" s="80" t="s">
        <v>182</v>
      </c>
      <c r="B106" s="81" t="s">
        <v>308</v>
      </c>
    </row>
    <row r="107" spans="1:2" x14ac:dyDescent="0.2">
      <c r="A107" s="80" t="s">
        <v>310</v>
      </c>
      <c r="B107" s="81" t="s">
        <v>308</v>
      </c>
    </row>
    <row r="108" spans="1:2" x14ac:dyDescent="0.2">
      <c r="A108" s="80" t="s">
        <v>189</v>
      </c>
      <c r="B108" s="81" t="s">
        <v>308</v>
      </c>
    </row>
    <row r="109" spans="1:2" x14ac:dyDescent="0.2">
      <c r="A109" s="80" t="s">
        <v>311</v>
      </c>
      <c r="B109" s="81" t="s">
        <v>308</v>
      </c>
    </row>
    <row r="110" spans="1:2" x14ac:dyDescent="0.2">
      <c r="A110" s="80" t="s">
        <v>312</v>
      </c>
      <c r="B110" s="81" t="s">
        <v>308</v>
      </c>
    </row>
    <row r="111" spans="1:2" x14ac:dyDescent="0.2">
      <c r="A111" s="80" t="s">
        <v>313</v>
      </c>
      <c r="B111" s="81" t="s">
        <v>308</v>
      </c>
    </row>
    <row r="112" spans="1:2" x14ac:dyDescent="0.2">
      <c r="A112" s="80" t="s">
        <v>314</v>
      </c>
      <c r="B112" s="81" t="s">
        <v>308</v>
      </c>
    </row>
    <row r="113" spans="1:2" x14ac:dyDescent="0.2">
      <c r="A113" s="80" t="s">
        <v>315</v>
      </c>
      <c r="B113" s="81" t="s">
        <v>308</v>
      </c>
    </row>
    <row r="114" spans="1:2" x14ac:dyDescent="0.2">
      <c r="A114" s="80" t="s">
        <v>183</v>
      </c>
      <c r="B114" s="81" t="s">
        <v>308</v>
      </c>
    </row>
    <row r="115" spans="1:2" x14ac:dyDescent="0.2">
      <c r="A115" s="80" t="s">
        <v>184</v>
      </c>
      <c r="B115" s="81" t="s">
        <v>308</v>
      </c>
    </row>
    <row r="116" spans="1:2" x14ac:dyDescent="0.2">
      <c r="A116" s="80" t="s">
        <v>185</v>
      </c>
      <c r="B116" s="81" t="s">
        <v>308</v>
      </c>
    </row>
    <row r="117" spans="1:2" x14ac:dyDescent="0.2">
      <c r="A117" s="80" t="s">
        <v>316</v>
      </c>
      <c r="B117" s="81" t="s">
        <v>308</v>
      </c>
    </row>
    <row r="118" spans="1:2" x14ac:dyDescent="0.2">
      <c r="A118" s="80" t="s">
        <v>317</v>
      </c>
      <c r="B118" s="81" t="s">
        <v>308</v>
      </c>
    </row>
    <row r="119" spans="1:2" x14ac:dyDescent="0.2">
      <c r="A119" s="80" t="s">
        <v>318</v>
      </c>
      <c r="B119" s="81" t="s">
        <v>308</v>
      </c>
    </row>
    <row r="120" spans="1:2" x14ac:dyDescent="0.2">
      <c r="A120" s="80" t="s">
        <v>319</v>
      </c>
      <c r="B120" s="81" t="s">
        <v>308</v>
      </c>
    </row>
    <row r="121" spans="1:2" x14ac:dyDescent="0.2">
      <c r="A121" s="80" t="s">
        <v>320</v>
      </c>
      <c r="B121" s="81" t="s">
        <v>308</v>
      </c>
    </row>
    <row r="122" spans="1:2" x14ac:dyDescent="0.2">
      <c r="A122" s="80" t="s">
        <v>64</v>
      </c>
      <c r="B122" s="81" t="s">
        <v>308</v>
      </c>
    </row>
    <row r="123" spans="1:2" x14ac:dyDescent="0.2">
      <c r="A123" s="80" t="s">
        <v>65</v>
      </c>
      <c r="B123" s="81" t="s">
        <v>308</v>
      </c>
    </row>
    <row r="124" spans="1:2" x14ac:dyDescent="0.2">
      <c r="A124" s="80" t="s">
        <v>66</v>
      </c>
      <c r="B124" s="81" t="s">
        <v>308</v>
      </c>
    </row>
    <row r="125" spans="1:2" x14ac:dyDescent="0.2">
      <c r="A125" s="80" t="s">
        <v>67</v>
      </c>
      <c r="B125" s="81" t="s">
        <v>308</v>
      </c>
    </row>
    <row r="126" spans="1:2" x14ac:dyDescent="0.2">
      <c r="A126" s="80" t="s">
        <v>68</v>
      </c>
      <c r="B126" s="81" t="s">
        <v>308</v>
      </c>
    </row>
    <row r="127" spans="1:2" x14ac:dyDescent="0.2">
      <c r="A127" s="80" t="s">
        <v>69</v>
      </c>
      <c r="B127" s="81" t="s">
        <v>308</v>
      </c>
    </row>
    <row r="128" spans="1:2" x14ac:dyDescent="0.2">
      <c r="A128" s="80" t="s">
        <v>70</v>
      </c>
      <c r="B128" s="81" t="s">
        <v>308</v>
      </c>
    </row>
    <row r="129" spans="1:2" x14ac:dyDescent="0.2">
      <c r="A129" s="80" t="s">
        <v>71</v>
      </c>
      <c r="B129" s="81" t="s">
        <v>308</v>
      </c>
    </row>
    <row r="130" spans="1:2" x14ac:dyDescent="0.2">
      <c r="A130" s="80" t="s">
        <v>72</v>
      </c>
      <c r="B130" s="81" t="s">
        <v>308</v>
      </c>
    </row>
    <row r="131" spans="1:2" x14ac:dyDescent="0.2">
      <c r="A131" s="80" t="s">
        <v>73</v>
      </c>
      <c r="B131" s="81" t="s">
        <v>308</v>
      </c>
    </row>
    <row r="132" spans="1:2" x14ac:dyDescent="0.2">
      <c r="A132" s="80" t="s">
        <v>321</v>
      </c>
      <c r="B132" s="81" t="s">
        <v>308</v>
      </c>
    </row>
    <row r="133" spans="1:2" x14ac:dyDescent="0.2">
      <c r="A133" s="80" t="s">
        <v>322</v>
      </c>
      <c r="B133" s="81" t="s">
        <v>308</v>
      </c>
    </row>
    <row r="134" spans="1:2" x14ac:dyDescent="0.2">
      <c r="A134" s="80" t="s">
        <v>323</v>
      </c>
      <c r="B134" s="81" t="s">
        <v>308</v>
      </c>
    </row>
    <row r="135" spans="1:2" x14ac:dyDescent="0.2">
      <c r="A135" s="80" t="s">
        <v>324</v>
      </c>
      <c r="B135" s="81" t="s">
        <v>308</v>
      </c>
    </row>
    <row r="136" spans="1:2" x14ac:dyDescent="0.2">
      <c r="A136" s="80" t="s">
        <v>325</v>
      </c>
      <c r="B136" s="81" t="s">
        <v>308</v>
      </c>
    </row>
    <row r="137" spans="1:2" x14ac:dyDescent="0.2">
      <c r="A137" s="80" t="s">
        <v>326</v>
      </c>
      <c r="B137" s="81" t="s">
        <v>308</v>
      </c>
    </row>
    <row r="138" spans="1:2" x14ac:dyDescent="0.2">
      <c r="A138" s="80" t="s">
        <v>327</v>
      </c>
      <c r="B138" s="81" t="s">
        <v>308</v>
      </c>
    </row>
    <row r="139" spans="1:2" x14ac:dyDescent="0.2">
      <c r="A139" s="80" t="s">
        <v>328</v>
      </c>
      <c r="B139" s="81" t="s">
        <v>308</v>
      </c>
    </row>
    <row r="140" spans="1:2" x14ac:dyDescent="0.2">
      <c r="A140" s="80" t="s">
        <v>329</v>
      </c>
      <c r="B140" s="81" t="s">
        <v>308</v>
      </c>
    </row>
    <row r="141" spans="1:2" x14ac:dyDescent="0.2">
      <c r="A141" s="80" t="s">
        <v>330</v>
      </c>
      <c r="B141" s="81" t="s">
        <v>308</v>
      </c>
    </row>
    <row r="142" spans="1:2" x14ac:dyDescent="0.2">
      <c r="A142" s="80" t="s">
        <v>331</v>
      </c>
      <c r="B142" s="81" t="s">
        <v>308</v>
      </c>
    </row>
    <row r="143" spans="1:2" x14ac:dyDescent="0.2">
      <c r="A143" s="80" t="s">
        <v>332</v>
      </c>
      <c r="B143" s="81" t="s">
        <v>308</v>
      </c>
    </row>
    <row r="144" spans="1:2" x14ac:dyDescent="0.2">
      <c r="A144" s="80" t="s">
        <v>187</v>
      </c>
      <c r="B144" s="81" t="s">
        <v>308</v>
      </c>
    </row>
    <row r="145" spans="1:2" x14ac:dyDescent="0.2">
      <c r="A145" s="80" t="s">
        <v>171</v>
      </c>
      <c r="B145" s="81" t="s">
        <v>308</v>
      </c>
    </row>
    <row r="146" spans="1:2" x14ac:dyDescent="0.2">
      <c r="A146" s="80" t="s">
        <v>333</v>
      </c>
      <c r="B146" s="81" t="s">
        <v>308</v>
      </c>
    </row>
    <row r="147" spans="1:2" x14ac:dyDescent="0.2">
      <c r="A147" s="80" t="s">
        <v>190</v>
      </c>
      <c r="B147" s="81" t="s">
        <v>308</v>
      </c>
    </row>
    <row r="148" spans="1:2" x14ac:dyDescent="0.2">
      <c r="A148" s="80" t="s">
        <v>334</v>
      </c>
      <c r="B148" s="81" t="s">
        <v>308</v>
      </c>
    </row>
    <row r="149" spans="1:2" x14ac:dyDescent="0.2">
      <c r="A149" s="80" t="s">
        <v>335</v>
      </c>
      <c r="B149" s="81" t="s">
        <v>308</v>
      </c>
    </row>
    <row r="150" spans="1:2" x14ac:dyDescent="0.2">
      <c r="A150" s="80" t="s">
        <v>191</v>
      </c>
      <c r="B150" s="81" t="s">
        <v>308</v>
      </c>
    </row>
    <row r="151" spans="1:2" x14ac:dyDescent="0.2">
      <c r="A151" s="80" t="s">
        <v>336</v>
      </c>
      <c r="B151" s="81" t="s">
        <v>308</v>
      </c>
    </row>
    <row r="152" spans="1:2" x14ac:dyDescent="0.2">
      <c r="A152" s="80" t="s">
        <v>337</v>
      </c>
      <c r="B152" s="81" t="s">
        <v>308</v>
      </c>
    </row>
    <row r="153" spans="1:2" x14ac:dyDescent="0.2">
      <c r="A153" s="80" t="s">
        <v>338</v>
      </c>
      <c r="B153" s="81" t="s">
        <v>308</v>
      </c>
    </row>
    <row r="154" spans="1:2" x14ac:dyDescent="0.2">
      <c r="A154" s="80" t="s">
        <v>339</v>
      </c>
      <c r="B154" s="81" t="s">
        <v>308</v>
      </c>
    </row>
    <row r="155" spans="1:2" x14ac:dyDescent="0.2">
      <c r="A155" s="80" t="s">
        <v>340</v>
      </c>
      <c r="B155" s="81" t="s">
        <v>308</v>
      </c>
    </row>
    <row r="156" spans="1:2" x14ac:dyDescent="0.2">
      <c r="A156" s="80" t="s">
        <v>341</v>
      </c>
      <c r="B156" s="81" t="s">
        <v>308</v>
      </c>
    </row>
    <row r="157" spans="1:2" x14ac:dyDescent="0.2">
      <c r="A157" s="80" t="s">
        <v>342</v>
      </c>
      <c r="B157" s="81" t="s">
        <v>308</v>
      </c>
    </row>
    <row r="158" spans="1:2" x14ac:dyDescent="0.2">
      <c r="A158" s="80" t="s">
        <v>343</v>
      </c>
      <c r="B158" s="81" t="s">
        <v>308</v>
      </c>
    </row>
    <row r="159" spans="1:2" x14ac:dyDescent="0.2">
      <c r="A159" s="80" t="s">
        <v>344</v>
      </c>
      <c r="B159" s="81" t="s">
        <v>308</v>
      </c>
    </row>
    <row r="160" spans="1:2" x14ac:dyDescent="0.2">
      <c r="A160" s="80" t="s">
        <v>345</v>
      </c>
      <c r="B160" s="81" t="s">
        <v>308</v>
      </c>
    </row>
    <row r="161" spans="1:2" x14ac:dyDescent="0.2">
      <c r="A161" s="80" t="s">
        <v>346</v>
      </c>
      <c r="B161" s="81"/>
    </row>
    <row r="162" spans="1:2" x14ac:dyDescent="0.2">
      <c r="A162" s="80" t="s">
        <v>347</v>
      </c>
      <c r="B162" s="81"/>
    </row>
    <row r="163" spans="1:2" x14ac:dyDescent="0.2">
      <c r="A163" s="80" t="s">
        <v>348</v>
      </c>
      <c r="B163" s="81"/>
    </row>
    <row r="164" spans="1:2" x14ac:dyDescent="0.2">
      <c r="A164" s="80" t="s">
        <v>349</v>
      </c>
      <c r="B164" s="81"/>
    </row>
    <row r="165" spans="1:2" x14ac:dyDescent="0.2">
      <c r="A165" s="80" t="s">
        <v>350</v>
      </c>
      <c r="B165" s="81"/>
    </row>
    <row r="166" spans="1:2" x14ac:dyDescent="0.2">
      <c r="A166" s="80" t="s">
        <v>351</v>
      </c>
      <c r="B166" s="81"/>
    </row>
    <row r="167" spans="1:2" x14ac:dyDescent="0.2">
      <c r="A167" s="80" t="s">
        <v>352</v>
      </c>
      <c r="B167" s="81"/>
    </row>
    <row r="168" spans="1:2" x14ac:dyDescent="0.2">
      <c r="A168" s="80" t="s">
        <v>353</v>
      </c>
      <c r="B168" s="81"/>
    </row>
    <row r="169" spans="1:2" x14ac:dyDescent="0.2">
      <c r="A169" s="80" t="s">
        <v>354</v>
      </c>
      <c r="B169" s="81"/>
    </row>
    <row r="170" spans="1:2" x14ac:dyDescent="0.2">
      <c r="A170" s="80" t="s">
        <v>355</v>
      </c>
      <c r="B170" s="81"/>
    </row>
    <row r="171" spans="1:2" x14ac:dyDescent="0.2">
      <c r="A171" s="80" t="s">
        <v>356</v>
      </c>
      <c r="B171" s="84" t="s">
        <v>357</v>
      </c>
    </row>
    <row r="172" spans="1:2" x14ac:dyDescent="0.2">
      <c r="A172" s="80" t="s">
        <v>358</v>
      </c>
      <c r="B172" s="84" t="s">
        <v>359</v>
      </c>
    </row>
    <row r="173" spans="1:2" x14ac:dyDescent="0.2">
      <c r="A173" s="80" t="s">
        <v>360</v>
      </c>
      <c r="B173" s="81" t="s">
        <v>180</v>
      </c>
    </row>
    <row r="174" spans="1:2" x14ac:dyDescent="0.2">
      <c r="A174" s="80" t="s">
        <v>361</v>
      </c>
      <c r="B174" s="84" t="s">
        <v>362</v>
      </c>
    </row>
    <row r="175" spans="1:2" x14ac:dyDescent="0.2">
      <c r="A175" s="80" t="s">
        <v>363</v>
      </c>
      <c r="B175" s="81" t="s">
        <v>364</v>
      </c>
    </row>
    <row r="176" spans="1:2" x14ac:dyDescent="0.2">
      <c r="A176" s="80" t="s">
        <v>365</v>
      </c>
      <c r="B176" s="81" t="s">
        <v>366</v>
      </c>
    </row>
    <row r="177" spans="1:2" x14ac:dyDescent="0.2">
      <c r="A177" s="80" t="s">
        <v>367</v>
      </c>
      <c r="B177" s="81"/>
    </row>
    <row r="178" spans="1:2" x14ac:dyDescent="0.2">
      <c r="A178" s="80" t="s">
        <v>368</v>
      </c>
      <c r="B178" s="81"/>
    </row>
    <row r="179" spans="1:2" x14ac:dyDescent="0.2">
      <c r="A179" s="80" t="s">
        <v>369</v>
      </c>
      <c r="B179" s="81"/>
    </row>
    <row r="180" spans="1:2" ht="13.5" thickBot="1" x14ac:dyDescent="0.25">
      <c r="A180" s="90" t="s">
        <v>370</v>
      </c>
      <c r="B180" s="91"/>
    </row>
    <row r="181" spans="1:2" ht="13.5" thickBot="1" x14ac:dyDescent="0.25"/>
    <row r="182" spans="1:2" ht="13.5" thickBot="1" x14ac:dyDescent="0.25">
      <c r="A182" s="161" t="s">
        <v>371</v>
      </c>
      <c r="B182" s="160"/>
    </row>
    <row r="183" spans="1:2" ht="13.5" thickBot="1" x14ac:dyDescent="0.25">
      <c r="A183" s="82" t="s">
        <v>372</v>
      </c>
      <c r="B183" s="83" t="s">
        <v>373</v>
      </c>
    </row>
    <row r="184" spans="1:2" x14ac:dyDescent="0.2">
      <c r="A184" s="81" t="s">
        <v>126</v>
      </c>
      <c r="B184" s="92" t="s">
        <v>374</v>
      </c>
    </row>
    <row r="185" spans="1:2" x14ac:dyDescent="0.2">
      <c r="A185" s="81" t="s">
        <v>159</v>
      </c>
      <c r="B185" s="92" t="s">
        <v>375</v>
      </c>
    </row>
    <row r="186" spans="1:2" x14ac:dyDescent="0.2">
      <c r="A186" s="81" t="s">
        <v>376</v>
      </c>
      <c r="B186" s="92" t="s">
        <v>377</v>
      </c>
    </row>
    <row r="187" spans="1:2" x14ac:dyDescent="0.2">
      <c r="A187" s="81" t="s">
        <v>378</v>
      </c>
      <c r="B187" s="92" t="s">
        <v>379</v>
      </c>
    </row>
    <row r="188" spans="1:2" x14ac:dyDescent="0.2">
      <c r="A188" s="81" t="s">
        <v>380</v>
      </c>
      <c r="B188" s="92" t="s">
        <v>381</v>
      </c>
    </row>
    <row r="189" spans="1:2" x14ac:dyDescent="0.2">
      <c r="A189" s="81" t="s">
        <v>382</v>
      </c>
      <c r="B189" s="92" t="s">
        <v>183</v>
      </c>
    </row>
    <row r="190" spans="1:2" x14ac:dyDescent="0.2">
      <c r="A190" s="81" t="s">
        <v>383</v>
      </c>
      <c r="B190" s="92" t="s">
        <v>184</v>
      </c>
    </row>
    <row r="191" spans="1:2" x14ac:dyDescent="0.2">
      <c r="A191" s="81" t="s">
        <v>384</v>
      </c>
      <c r="B191" s="92" t="s">
        <v>185</v>
      </c>
    </row>
    <row r="192" spans="1:2" x14ac:dyDescent="0.2">
      <c r="A192" s="81" t="s">
        <v>385</v>
      </c>
      <c r="B192" s="92" t="s">
        <v>316</v>
      </c>
    </row>
    <row r="193" spans="1:2" x14ac:dyDescent="0.2">
      <c r="A193" s="81" t="s">
        <v>386</v>
      </c>
      <c r="B193" s="92" t="s">
        <v>317</v>
      </c>
    </row>
    <row r="194" spans="1:2" x14ac:dyDescent="0.2">
      <c r="A194" s="81" t="s">
        <v>387</v>
      </c>
      <c r="B194" s="92" t="s">
        <v>318</v>
      </c>
    </row>
    <row r="195" spans="1:2" x14ac:dyDescent="0.2">
      <c r="A195" s="81" t="s">
        <v>388</v>
      </c>
      <c r="B195" s="92" t="s">
        <v>319</v>
      </c>
    </row>
    <row r="196" spans="1:2" x14ac:dyDescent="0.2">
      <c r="A196" s="81" t="s">
        <v>389</v>
      </c>
      <c r="B196" s="93">
        <v>65</v>
      </c>
    </row>
    <row r="197" spans="1:2" x14ac:dyDescent="0.2">
      <c r="A197" s="81" t="s">
        <v>390</v>
      </c>
      <c r="B197" s="93">
        <v>257</v>
      </c>
    </row>
    <row r="198" spans="1:2" x14ac:dyDescent="0.2">
      <c r="A198" s="81" t="s">
        <v>177</v>
      </c>
      <c r="B198" s="93">
        <v>258</v>
      </c>
    </row>
    <row r="199" spans="1:2" x14ac:dyDescent="0.2">
      <c r="A199" s="81" t="s">
        <v>391</v>
      </c>
      <c r="B199" s="93">
        <v>259</v>
      </c>
    </row>
    <row r="200" spans="1:2" x14ac:dyDescent="0.2">
      <c r="A200" s="81" t="s">
        <v>179</v>
      </c>
      <c r="B200" s="93">
        <v>260</v>
      </c>
    </row>
    <row r="201" spans="1:2" x14ac:dyDescent="0.2">
      <c r="A201" s="81" t="s">
        <v>392</v>
      </c>
      <c r="B201" s="93">
        <v>261</v>
      </c>
    </row>
    <row r="202" spans="1:2" x14ac:dyDescent="0.2">
      <c r="A202" s="81" t="s">
        <v>393</v>
      </c>
      <c r="B202" s="93">
        <v>262</v>
      </c>
    </row>
    <row r="203" spans="1:2" x14ac:dyDescent="0.2">
      <c r="A203" s="81" t="s">
        <v>394</v>
      </c>
      <c r="B203" s="93">
        <v>263</v>
      </c>
    </row>
    <row r="204" spans="1:2" x14ac:dyDescent="0.2">
      <c r="A204" s="81" t="s">
        <v>395</v>
      </c>
      <c r="B204" s="93">
        <v>264</v>
      </c>
    </row>
    <row r="205" spans="1:2" x14ac:dyDescent="0.2">
      <c r="A205" s="81" t="s">
        <v>396</v>
      </c>
      <c r="B205" s="93">
        <v>265</v>
      </c>
    </row>
    <row r="206" spans="1:2" x14ac:dyDescent="0.2">
      <c r="A206" s="81" t="s">
        <v>397</v>
      </c>
      <c r="B206" s="93">
        <v>266</v>
      </c>
    </row>
    <row r="207" spans="1:2" x14ac:dyDescent="0.2">
      <c r="A207" s="81" t="s">
        <v>398</v>
      </c>
      <c r="B207" s="93">
        <v>267</v>
      </c>
    </row>
    <row r="208" spans="1:2" x14ac:dyDescent="0.2">
      <c r="A208" s="81" t="s">
        <v>399</v>
      </c>
      <c r="B208" s="93">
        <v>268</v>
      </c>
    </row>
    <row r="209" spans="1:2" x14ac:dyDescent="0.2">
      <c r="A209" s="81" t="s">
        <v>400</v>
      </c>
      <c r="B209" s="93">
        <v>269</v>
      </c>
    </row>
    <row r="210" spans="1:2" x14ac:dyDescent="0.2">
      <c r="A210" s="81" t="s">
        <v>401</v>
      </c>
      <c r="B210" s="93">
        <v>270</v>
      </c>
    </row>
    <row r="211" spans="1:2" x14ac:dyDescent="0.2">
      <c r="A211" s="81" t="s">
        <v>402</v>
      </c>
      <c r="B211" s="93">
        <v>271</v>
      </c>
    </row>
    <row r="212" spans="1:2" x14ac:dyDescent="0.2">
      <c r="A212" s="81" t="s">
        <v>403</v>
      </c>
      <c r="B212" s="93">
        <v>272</v>
      </c>
    </row>
    <row r="213" spans="1:2" x14ac:dyDescent="0.2">
      <c r="A213" s="81" t="s">
        <v>404</v>
      </c>
      <c r="B213" s="93">
        <v>513</v>
      </c>
    </row>
    <row r="214" spans="1:2" x14ac:dyDescent="0.2">
      <c r="A214" s="81" t="s">
        <v>405</v>
      </c>
      <c r="B214" s="93">
        <v>514</v>
      </c>
    </row>
    <row r="215" spans="1:2" x14ac:dyDescent="0.2">
      <c r="A215" s="81" t="s">
        <v>406</v>
      </c>
      <c r="B215" s="93">
        <v>515</v>
      </c>
    </row>
    <row r="216" spans="1:2" x14ac:dyDescent="0.2">
      <c r="A216" s="81" t="s">
        <v>407</v>
      </c>
      <c r="B216" s="93">
        <v>516</v>
      </c>
    </row>
    <row r="217" spans="1:2" x14ac:dyDescent="0.2">
      <c r="A217" s="81" t="s">
        <v>408</v>
      </c>
      <c r="B217" s="93">
        <v>517</v>
      </c>
    </row>
    <row r="218" spans="1:2" x14ac:dyDescent="0.2">
      <c r="A218" s="81" t="s">
        <v>409</v>
      </c>
      <c r="B218" s="93">
        <v>518</v>
      </c>
    </row>
    <row r="219" spans="1:2" x14ac:dyDescent="0.2">
      <c r="A219" s="81" t="s">
        <v>410</v>
      </c>
      <c r="B219" s="93">
        <v>519</v>
      </c>
    </row>
    <row r="220" spans="1:2" x14ac:dyDescent="0.2">
      <c r="A220" s="81" t="s">
        <v>411</v>
      </c>
      <c r="B220" s="93">
        <v>520</v>
      </c>
    </row>
    <row r="221" spans="1:2" x14ac:dyDescent="0.2">
      <c r="A221" s="81" t="s">
        <v>412</v>
      </c>
      <c r="B221" s="93">
        <v>521</v>
      </c>
    </row>
    <row r="222" spans="1:2" x14ac:dyDescent="0.2">
      <c r="A222" s="81" t="s">
        <v>181</v>
      </c>
      <c r="B222" s="94">
        <v>1000</v>
      </c>
    </row>
    <row r="223" spans="1:2" x14ac:dyDescent="0.2">
      <c r="A223" s="81" t="s">
        <v>413</v>
      </c>
      <c r="B223" s="94">
        <v>1001</v>
      </c>
    </row>
    <row r="224" spans="1:2" x14ac:dyDescent="0.2">
      <c r="A224" s="81" t="s">
        <v>414</v>
      </c>
      <c r="B224" s="94">
        <v>1002</v>
      </c>
    </row>
    <row r="225" spans="1:2" x14ac:dyDescent="0.2">
      <c r="A225" s="81" t="s">
        <v>415</v>
      </c>
      <c r="B225" s="94">
        <v>1003</v>
      </c>
    </row>
    <row r="226" spans="1:2" x14ac:dyDescent="0.2">
      <c r="A226" s="81" t="s">
        <v>168</v>
      </c>
      <c r="B226" s="94">
        <v>1004</v>
      </c>
    </row>
    <row r="227" spans="1:2" x14ac:dyDescent="0.2">
      <c r="A227" s="95" t="s">
        <v>416</v>
      </c>
      <c r="B227" s="94">
        <v>1005</v>
      </c>
    </row>
    <row r="228" spans="1:2" x14ac:dyDescent="0.2">
      <c r="A228" s="81" t="s">
        <v>417</v>
      </c>
      <c r="B228" s="94">
        <v>1006</v>
      </c>
    </row>
    <row r="229" spans="1:2" x14ac:dyDescent="0.2">
      <c r="A229" s="81" t="s">
        <v>418</v>
      </c>
      <c r="B229" s="94">
        <v>1007</v>
      </c>
    </row>
    <row r="230" spans="1:2" x14ac:dyDescent="0.2">
      <c r="A230" s="84" t="s">
        <v>419</v>
      </c>
      <c r="B230" s="94">
        <v>1008</v>
      </c>
    </row>
    <row r="231" spans="1:2" x14ac:dyDescent="0.2">
      <c r="A231" s="84" t="s">
        <v>420</v>
      </c>
      <c r="B231" s="94">
        <v>1009</v>
      </c>
    </row>
    <row r="232" spans="1:2" x14ac:dyDescent="0.2">
      <c r="A232" s="81"/>
      <c r="B232" s="94">
        <v>1010</v>
      </c>
    </row>
    <row r="233" spans="1:2" x14ac:dyDescent="0.2">
      <c r="A233" s="81" t="s">
        <v>421</v>
      </c>
      <c r="B233" s="93">
        <v>2000</v>
      </c>
    </row>
    <row r="234" spans="1:2" x14ac:dyDescent="0.2">
      <c r="A234" s="81" t="s">
        <v>422</v>
      </c>
      <c r="B234" s="93">
        <v>2001</v>
      </c>
    </row>
    <row r="235" spans="1:2" x14ac:dyDescent="0.2">
      <c r="A235" s="81" t="s">
        <v>423</v>
      </c>
      <c r="B235" s="93">
        <v>2002</v>
      </c>
    </row>
    <row r="236" spans="1:2" x14ac:dyDescent="0.2">
      <c r="A236" s="81" t="s">
        <v>424</v>
      </c>
      <c r="B236" s="93">
        <v>2003</v>
      </c>
    </row>
    <row r="237" spans="1:2" x14ac:dyDescent="0.2">
      <c r="A237" s="81" t="s">
        <v>425</v>
      </c>
      <c r="B237" s="93">
        <v>2500</v>
      </c>
    </row>
    <row r="238" spans="1:2" x14ac:dyDescent="0.2">
      <c r="A238" s="81" t="s">
        <v>426</v>
      </c>
      <c r="B238" s="93">
        <v>2501</v>
      </c>
    </row>
    <row r="239" spans="1:2" x14ac:dyDescent="0.2">
      <c r="A239" s="81" t="s">
        <v>427</v>
      </c>
      <c r="B239" s="93">
        <v>2502</v>
      </c>
    </row>
    <row r="240" spans="1:2" x14ac:dyDescent="0.2">
      <c r="A240" s="81" t="s">
        <v>428</v>
      </c>
      <c r="B240" s="93">
        <v>2503</v>
      </c>
    </row>
    <row r="241" spans="1:2" x14ac:dyDescent="0.2">
      <c r="A241" s="81" t="s">
        <v>429</v>
      </c>
      <c r="B241" s="93">
        <v>2504</v>
      </c>
    </row>
    <row r="242" spans="1:2" x14ac:dyDescent="0.2">
      <c r="A242" s="81" t="s">
        <v>430</v>
      </c>
      <c r="B242" s="93">
        <v>2505</v>
      </c>
    </row>
    <row r="243" spans="1:2" x14ac:dyDescent="0.2">
      <c r="A243" s="81" t="s">
        <v>431</v>
      </c>
      <c r="B243" s="93">
        <v>2506</v>
      </c>
    </row>
    <row r="244" spans="1:2" x14ac:dyDescent="0.2">
      <c r="A244" s="81" t="s">
        <v>432</v>
      </c>
      <c r="B244" s="93">
        <v>2507</v>
      </c>
    </row>
    <row r="245" spans="1:2" x14ac:dyDescent="0.2">
      <c r="A245" s="81" t="s">
        <v>433</v>
      </c>
      <c r="B245" s="93">
        <v>2508</v>
      </c>
    </row>
    <row r="246" spans="1:2" x14ac:dyDescent="0.2">
      <c r="A246" s="81" t="s">
        <v>434</v>
      </c>
      <c r="B246" s="93">
        <v>2509</v>
      </c>
    </row>
    <row r="247" spans="1:2" x14ac:dyDescent="0.2">
      <c r="A247" s="81" t="s">
        <v>435</v>
      </c>
      <c r="B247" s="93">
        <v>2510</v>
      </c>
    </row>
    <row r="248" spans="1:2" x14ac:dyDescent="0.2">
      <c r="A248" s="81" t="s">
        <v>436</v>
      </c>
      <c r="B248" s="93">
        <v>3000</v>
      </c>
    </row>
    <row r="249" spans="1:2" x14ac:dyDescent="0.2">
      <c r="A249" s="81" t="s">
        <v>437</v>
      </c>
      <c r="B249" s="93">
        <v>3001</v>
      </c>
    </row>
    <row r="250" spans="1:2" x14ac:dyDescent="0.2">
      <c r="A250" s="81" t="s">
        <v>438</v>
      </c>
      <c r="B250" s="93">
        <v>3002</v>
      </c>
    </row>
    <row r="251" spans="1:2" x14ac:dyDescent="0.2">
      <c r="A251" s="81" t="s">
        <v>439</v>
      </c>
      <c r="B251" s="93">
        <v>3003</v>
      </c>
    </row>
    <row r="252" spans="1:2" x14ac:dyDescent="0.2">
      <c r="A252" s="81" t="s">
        <v>440</v>
      </c>
      <c r="B252" s="93">
        <v>3004</v>
      </c>
    </row>
    <row r="253" spans="1:2" x14ac:dyDescent="0.2">
      <c r="A253" s="81" t="s">
        <v>441</v>
      </c>
      <c r="B253" s="93">
        <v>3500</v>
      </c>
    </row>
    <row r="254" spans="1:2" x14ac:dyDescent="0.2">
      <c r="A254" s="81" t="s">
        <v>442</v>
      </c>
      <c r="B254" s="93">
        <v>3501</v>
      </c>
    </row>
    <row r="255" spans="1:2" x14ac:dyDescent="0.2">
      <c r="A255" s="81" t="s">
        <v>443</v>
      </c>
      <c r="B255" s="93">
        <v>3502</v>
      </c>
    </row>
    <row r="256" spans="1:2" x14ac:dyDescent="0.2">
      <c r="A256" s="81" t="s">
        <v>444</v>
      </c>
      <c r="B256" s="93">
        <v>3503</v>
      </c>
    </row>
    <row r="257" spans="1:2" x14ac:dyDescent="0.2">
      <c r="A257" s="81" t="s">
        <v>445</v>
      </c>
      <c r="B257" s="93">
        <v>3504</v>
      </c>
    </row>
    <row r="258" spans="1:2" x14ac:dyDescent="0.2">
      <c r="A258" s="81" t="s">
        <v>446</v>
      </c>
      <c r="B258" s="93">
        <v>3505</v>
      </c>
    </row>
    <row r="259" spans="1:2" x14ac:dyDescent="0.2">
      <c r="A259" s="81" t="s">
        <v>447</v>
      </c>
      <c r="B259" s="93">
        <v>3506</v>
      </c>
    </row>
    <row r="260" spans="1:2" x14ac:dyDescent="0.2">
      <c r="A260" s="81" t="s">
        <v>448</v>
      </c>
      <c r="B260" s="93">
        <v>3507</v>
      </c>
    </row>
    <row r="261" spans="1:2" x14ac:dyDescent="0.2">
      <c r="A261" s="81" t="s">
        <v>449</v>
      </c>
      <c r="B261" s="93">
        <v>3508</v>
      </c>
    </row>
    <row r="262" spans="1:2" x14ac:dyDescent="0.2">
      <c r="A262" s="81" t="s">
        <v>450</v>
      </c>
      <c r="B262" s="93">
        <v>3509</v>
      </c>
    </row>
    <row r="263" spans="1:2" x14ac:dyDescent="0.2">
      <c r="A263" s="81" t="s">
        <v>451</v>
      </c>
      <c r="B263" s="93">
        <v>3510</v>
      </c>
    </row>
    <row r="264" spans="1:2" x14ac:dyDescent="0.2">
      <c r="A264" s="81" t="s">
        <v>452</v>
      </c>
      <c r="B264" s="93">
        <v>4000</v>
      </c>
    </row>
    <row r="265" spans="1:2" x14ac:dyDescent="0.2">
      <c r="A265" s="81" t="s">
        <v>453</v>
      </c>
      <c r="B265" s="93">
        <v>4001</v>
      </c>
    </row>
    <row r="266" spans="1:2" x14ac:dyDescent="0.2">
      <c r="A266" s="81" t="s">
        <v>454</v>
      </c>
      <c r="B266" s="93">
        <v>4002</v>
      </c>
    </row>
    <row r="267" spans="1:2" x14ac:dyDescent="0.2">
      <c r="A267" s="81" t="s">
        <v>455</v>
      </c>
      <c r="B267" s="93">
        <v>4003</v>
      </c>
    </row>
    <row r="268" spans="1:2" x14ac:dyDescent="0.2">
      <c r="A268" s="81" t="s">
        <v>456</v>
      </c>
      <c r="B268" s="93">
        <v>4004</v>
      </c>
    </row>
    <row r="269" spans="1:2" x14ac:dyDescent="0.2">
      <c r="A269" s="81" t="s">
        <v>457</v>
      </c>
      <c r="B269" s="93">
        <v>4005</v>
      </c>
    </row>
    <row r="270" spans="1:2" x14ac:dyDescent="0.2">
      <c r="A270" s="81" t="s">
        <v>458</v>
      </c>
      <c r="B270" s="93">
        <v>4006</v>
      </c>
    </row>
    <row r="271" spans="1:2" x14ac:dyDescent="0.2">
      <c r="A271" s="81" t="s">
        <v>459</v>
      </c>
      <c r="B271" s="93">
        <v>4007</v>
      </c>
    </row>
    <row r="272" spans="1:2" x14ac:dyDescent="0.2">
      <c r="A272" s="81" t="s">
        <v>460</v>
      </c>
      <c r="B272" s="93">
        <v>4008</v>
      </c>
    </row>
    <row r="273" spans="1:2" x14ac:dyDescent="0.2">
      <c r="A273" s="81" t="s">
        <v>461</v>
      </c>
      <c r="B273" s="93">
        <v>4009</v>
      </c>
    </row>
    <row r="274" spans="1:2" x14ac:dyDescent="0.2">
      <c r="A274" s="81" t="s">
        <v>462</v>
      </c>
      <c r="B274" s="93">
        <v>4010</v>
      </c>
    </row>
    <row r="275" spans="1:2" x14ac:dyDescent="0.2">
      <c r="A275" s="81" t="s">
        <v>463</v>
      </c>
      <c r="B275" s="93">
        <v>4011</v>
      </c>
    </row>
    <row r="276" spans="1:2" x14ac:dyDescent="0.2">
      <c r="A276" s="81" t="s">
        <v>464</v>
      </c>
      <c r="B276" s="93">
        <v>4012</v>
      </c>
    </row>
    <row r="277" spans="1:2" x14ac:dyDescent="0.2">
      <c r="A277" s="81" t="s">
        <v>465</v>
      </c>
      <c r="B277" s="93">
        <v>4013</v>
      </c>
    </row>
    <row r="278" spans="1:2" x14ac:dyDescent="0.2">
      <c r="A278" s="81" t="s">
        <v>466</v>
      </c>
      <c r="B278" s="93">
        <v>4014</v>
      </c>
    </row>
  </sheetData>
  <autoFilter ref="A5:C5"/>
  <mergeCells count="3">
    <mergeCell ref="A1:B1"/>
    <mergeCell ref="A79:B79"/>
    <mergeCell ref="A182:B182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horizontalDpi="1200" verticalDpi="1200" r:id="rId1"/>
  <headerFooter alignWithMargins="0">
    <oddHeader>&amp;C&amp;"Arial,Bold"&amp;12&amp;URML I/O Item Codes&amp;R
&amp;D</oddHeader>
    <oddFooter>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Z1000"/>
  <sheetViews>
    <sheetView workbookViewId="0"/>
  </sheetViews>
  <sheetFormatPr defaultColWidth="14.42578125" defaultRowHeight="15" customHeight="1" x14ac:dyDescent="0.25"/>
  <cols>
    <col min="1" max="1" width="53.140625" customWidth="1"/>
    <col min="2" max="2" width="126.7109375" customWidth="1"/>
    <col min="3" max="3" width="20.7109375" customWidth="1"/>
    <col min="4" max="4" width="18.85546875" customWidth="1"/>
    <col min="5" max="5" width="16.28515625" customWidth="1"/>
    <col min="6" max="6" width="16.42578125" customWidth="1"/>
    <col min="7" max="26" width="9" customWidth="1"/>
  </cols>
  <sheetData>
    <row r="1" spans="1:26" ht="12.75" customHeight="1" x14ac:dyDescent="0.25">
      <c r="A1" s="29" t="s">
        <v>467</v>
      </c>
      <c r="B1" s="29" t="s">
        <v>468</v>
      </c>
      <c r="C1" s="29" t="s">
        <v>89</v>
      </c>
      <c r="D1" s="30" t="s">
        <v>90</v>
      </c>
      <c r="E1" s="30" t="s">
        <v>91</v>
      </c>
      <c r="F1" s="29" t="s">
        <v>86</v>
      </c>
      <c r="G1" s="29" t="s">
        <v>87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5">
      <c r="A2" s="2" t="s">
        <v>469</v>
      </c>
      <c r="B2" s="2" t="s">
        <v>470</v>
      </c>
      <c r="C2" s="2"/>
      <c r="D2" s="2" t="str">
        <f t="shared" ref="D2:D19" si="0">IF(ISBLANK(C2),"0",VLOOKUP(C2,[0]!OMAC_Alarms,2,FALSE))</f>
        <v>0</v>
      </c>
      <c r="E2" s="2" t="str">
        <f t="shared" ref="E2:E19" si="1">F2&amp;G2</f>
        <v>061</v>
      </c>
      <c r="F2" s="40" t="s">
        <v>42</v>
      </c>
      <c r="G2" s="2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5">
      <c r="A3" s="2" t="s">
        <v>471</v>
      </c>
      <c r="B3" s="2" t="s">
        <v>472</v>
      </c>
      <c r="C3" s="2" t="s">
        <v>452</v>
      </c>
      <c r="D3" s="2" t="e">
        <f t="shared" si="0"/>
        <v>#REF!</v>
      </c>
      <c r="E3" s="2" t="str">
        <f t="shared" si="1"/>
        <v>062</v>
      </c>
      <c r="F3" s="40" t="s">
        <v>42</v>
      </c>
      <c r="G3" s="2">
        <v>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5">
      <c r="A4" s="2" t="s">
        <v>473</v>
      </c>
      <c r="B4" s="2" t="s">
        <v>474</v>
      </c>
      <c r="C4" s="2"/>
      <c r="D4" s="2" t="str">
        <f t="shared" si="0"/>
        <v>0</v>
      </c>
      <c r="E4" s="2" t="str">
        <f t="shared" si="1"/>
        <v>063</v>
      </c>
      <c r="F4" s="40" t="s">
        <v>42</v>
      </c>
      <c r="G4" s="2">
        <v>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5">
      <c r="A5" s="2" t="s">
        <v>475</v>
      </c>
      <c r="B5" s="2" t="s">
        <v>476</v>
      </c>
      <c r="C5" s="2"/>
      <c r="D5" s="2" t="str">
        <f t="shared" si="0"/>
        <v>0</v>
      </c>
      <c r="E5" s="2" t="str">
        <f t="shared" si="1"/>
        <v>064</v>
      </c>
      <c r="F5" s="40" t="s">
        <v>42</v>
      </c>
      <c r="G5" s="2">
        <v>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5">
      <c r="A6" s="2" t="s">
        <v>477</v>
      </c>
      <c r="B6" s="2" t="s">
        <v>478</v>
      </c>
      <c r="C6" s="2"/>
      <c r="D6" s="2" t="str">
        <f t="shared" si="0"/>
        <v>0</v>
      </c>
      <c r="E6" s="2" t="str">
        <f t="shared" si="1"/>
        <v>065</v>
      </c>
      <c r="F6" s="40" t="s">
        <v>42</v>
      </c>
      <c r="G6" s="2">
        <v>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5">
      <c r="A7" s="2" t="s">
        <v>479</v>
      </c>
      <c r="B7" s="2" t="s">
        <v>480</v>
      </c>
      <c r="C7" s="2"/>
      <c r="D7" s="2" t="str">
        <f t="shared" si="0"/>
        <v>0</v>
      </c>
      <c r="E7" s="2" t="str">
        <f t="shared" si="1"/>
        <v>066</v>
      </c>
      <c r="F7" s="40" t="s">
        <v>42</v>
      </c>
      <c r="G7" s="2">
        <v>6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5">
      <c r="A8" s="2" t="s">
        <v>481</v>
      </c>
      <c r="B8" s="2" t="s">
        <v>482</v>
      </c>
      <c r="C8" s="2"/>
      <c r="D8" s="2" t="str">
        <f t="shared" si="0"/>
        <v>0</v>
      </c>
      <c r="E8" s="2" t="str">
        <f t="shared" si="1"/>
        <v>067</v>
      </c>
      <c r="F8" s="40" t="s">
        <v>42</v>
      </c>
      <c r="G8" s="2">
        <v>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5">
      <c r="A9" s="2" t="s">
        <v>483</v>
      </c>
      <c r="B9" s="2" t="s">
        <v>484</v>
      </c>
      <c r="C9" s="2"/>
      <c r="D9" s="2" t="str">
        <f t="shared" si="0"/>
        <v>0</v>
      </c>
      <c r="E9" s="2" t="str">
        <f t="shared" si="1"/>
        <v>068</v>
      </c>
      <c r="F9" s="40" t="s">
        <v>42</v>
      </c>
      <c r="G9" s="2">
        <v>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5">
      <c r="A10" s="2" t="s">
        <v>485</v>
      </c>
      <c r="B10" s="2" t="s">
        <v>484</v>
      </c>
      <c r="C10" s="2"/>
      <c r="D10" s="2" t="str">
        <f t="shared" si="0"/>
        <v>0</v>
      </c>
      <c r="E10" s="2" t="str">
        <f t="shared" si="1"/>
        <v>069</v>
      </c>
      <c r="F10" s="40" t="s">
        <v>42</v>
      </c>
      <c r="G10" s="2">
        <v>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5">
      <c r="A11" s="2" t="s">
        <v>486</v>
      </c>
      <c r="B11" s="2" t="s">
        <v>487</v>
      </c>
      <c r="C11" s="2"/>
      <c r="D11" s="2" t="str">
        <f t="shared" si="0"/>
        <v>0</v>
      </c>
      <c r="E11" s="2" t="str">
        <f t="shared" si="1"/>
        <v>0610</v>
      </c>
      <c r="F11" s="40" t="s">
        <v>42</v>
      </c>
      <c r="G11" s="2">
        <v>10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5">
      <c r="A12" s="2" t="s">
        <v>488</v>
      </c>
      <c r="B12" s="2" t="s">
        <v>489</v>
      </c>
      <c r="C12" s="2"/>
      <c r="D12" s="2" t="str">
        <f t="shared" si="0"/>
        <v>0</v>
      </c>
      <c r="E12" s="2" t="str">
        <f t="shared" si="1"/>
        <v>0611</v>
      </c>
      <c r="F12" s="40" t="s">
        <v>42</v>
      </c>
      <c r="G12" s="2">
        <v>11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5">
      <c r="A13" s="2" t="s">
        <v>490</v>
      </c>
      <c r="B13" s="37" t="s">
        <v>491</v>
      </c>
      <c r="C13" s="2" t="s">
        <v>395</v>
      </c>
      <c r="D13" s="2" t="e">
        <f t="shared" si="0"/>
        <v>#REF!</v>
      </c>
      <c r="E13" s="2" t="str">
        <f t="shared" si="1"/>
        <v>0612</v>
      </c>
      <c r="F13" s="40" t="s">
        <v>42</v>
      </c>
      <c r="G13" s="2">
        <v>12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5">
      <c r="A14" s="2" t="s">
        <v>492</v>
      </c>
      <c r="B14" s="37" t="s">
        <v>493</v>
      </c>
      <c r="C14" s="2" t="s">
        <v>395</v>
      </c>
      <c r="D14" s="2" t="e">
        <f t="shared" si="0"/>
        <v>#REF!</v>
      </c>
      <c r="E14" s="2" t="str">
        <f t="shared" si="1"/>
        <v>0613</v>
      </c>
      <c r="F14" s="40" t="s">
        <v>42</v>
      </c>
      <c r="G14" s="2">
        <v>13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5">
      <c r="A15" s="2" t="s">
        <v>494</v>
      </c>
      <c r="B15" s="37" t="s">
        <v>495</v>
      </c>
      <c r="C15" s="2" t="s">
        <v>395</v>
      </c>
      <c r="D15" s="2" t="e">
        <f t="shared" si="0"/>
        <v>#REF!</v>
      </c>
      <c r="E15" s="2" t="str">
        <f t="shared" si="1"/>
        <v>0614</v>
      </c>
      <c r="F15" s="40" t="s">
        <v>42</v>
      </c>
      <c r="G15" s="2">
        <v>14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5">
      <c r="A16" s="2" t="s">
        <v>496</v>
      </c>
      <c r="B16" s="37" t="s">
        <v>497</v>
      </c>
      <c r="C16" s="2" t="s">
        <v>395</v>
      </c>
      <c r="D16" s="2" t="e">
        <f t="shared" si="0"/>
        <v>#REF!</v>
      </c>
      <c r="E16" s="2" t="str">
        <f t="shared" si="1"/>
        <v>0615</v>
      </c>
      <c r="F16" s="40" t="s">
        <v>42</v>
      </c>
      <c r="G16" s="2">
        <v>15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5">
      <c r="A17" s="2" t="s">
        <v>498</v>
      </c>
      <c r="B17" s="37" t="s">
        <v>497</v>
      </c>
      <c r="C17" s="2" t="s">
        <v>395</v>
      </c>
      <c r="D17" s="2" t="e">
        <f t="shared" si="0"/>
        <v>#REF!</v>
      </c>
      <c r="E17" s="2" t="str">
        <f t="shared" si="1"/>
        <v>0616</v>
      </c>
      <c r="F17" s="40" t="s">
        <v>42</v>
      </c>
      <c r="G17" s="2">
        <v>16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5">
      <c r="A18" s="2" t="s">
        <v>499</v>
      </c>
      <c r="B18" s="2" t="s">
        <v>500</v>
      </c>
      <c r="C18" s="2"/>
      <c r="D18" s="2" t="str">
        <f t="shared" si="0"/>
        <v>0</v>
      </c>
      <c r="E18" s="2" t="str">
        <f t="shared" si="1"/>
        <v>0617</v>
      </c>
      <c r="F18" s="40" t="s">
        <v>42</v>
      </c>
      <c r="G18" s="2">
        <v>17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5">
      <c r="A19" s="2" t="s">
        <v>501</v>
      </c>
      <c r="B19" s="2" t="s">
        <v>502</v>
      </c>
      <c r="C19" s="2"/>
      <c r="D19" s="2" t="str">
        <f t="shared" si="0"/>
        <v>0</v>
      </c>
      <c r="E19" s="2" t="str">
        <f t="shared" si="1"/>
        <v>0618</v>
      </c>
      <c r="F19" s="40" t="s">
        <v>42</v>
      </c>
      <c r="G19" s="2">
        <v>18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5">
      <c r="A20" s="2" t="s">
        <v>503</v>
      </c>
      <c r="B20" s="37" t="s">
        <v>504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5">
      <c r="A21" s="2" t="s">
        <v>505</v>
      </c>
      <c r="B21" s="37" t="s">
        <v>506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 count="1">
    <dataValidation type="list" allowBlank="1" showErrorMessage="1" sqref="C2:C17">
      <formula1>[4]!OMAC_Reason</formula1>
    </dataValidation>
  </dataValidations>
  <pageMargins left="0.75" right="0.75" top="1" bottom="1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Z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68.85546875" customWidth="1"/>
    <col min="3" max="6" width="30.7109375" customWidth="1"/>
    <col min="7" max="26" width="9" customWidth="1"/>
  </cols>
  <sheetData>
    <row r="1" spans="1:26" ht="12.75" customHeight="1" x14ac:dyDescent="0.25">
      <c r="A1" s="65" t="s">
        <v>507</v>
      </c>
      <c r="B1" s="65" t="s">
        <v>508</v>
      </c>
      <c r="C1" s="65" t="s">
        <v>509</v>
      </c>
      <c r="D1" s="65" t="s">
        <v>510</v>
      </c>
      <c r="E1" s="65" t="s">
        <v>511</v>
      </c>
      <c r="F1" s="65" t="s">
        <v>512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5">
      <c r="A2" s="2">
        <v>1</v>
      </c>
      <c r="B2" s="2" t="s">
        <v>513</v>
      </c>
      <c r="C2" s="2" t="s">
        <v>514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5">
      <c r="A3" s="2">
        <v>2</v>
      </c>
      <c r="B3" s="2" t="s">
        <v>515</v>
      </c>
      <c r="C3" s="2" t="s">
        <v>516</v>
      </c>
      <c r="D3" s="2" t="s">
        <v>517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5">
      <c r="A4" s="2">
        <v>3</v>
      </c>
      <c r="B4" s="2" t="s">
        <v>518</v>
      </c>
      <c r="C4" s="2" t="s">
        <v>516</v>
      </c>
      <c r="D4" s="2" t="s">
        <v>517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17</vt:i4>
      </vt:variant>
    </vt:vector>
  </HeadingPairs>
  <TitlesOfParts>
    <vt:vector size="28" baseType="lpstr">
      <vt:lpstr>SetupSheet</vt:lpstr>
      <vt:lpstr>Title</vt:lpstr>
      <vt:lpstr>Assemblies</vt:lpstr>
      <vt:lpstr>EquipmentList</vt:lpstr>
      <vt:lpstr>NodeList</vt:lpstr>
      <vt:lpstr>XC0302</vt:lpstr>
      <vt:lpstr>XC0320</vt:lpstr>
      <vt:lpstr>harting connector</vt:lpstr>
      <vt:lpstr>Item Codes</vt:lpstr>
      <vt:lpstr>Alarms </vt:lpstr>
      <vt:lpstr>EventLog</vt:lpstr>
      <vt:lpstr>ClassCodes</vt:lpstr>
      <vt:lpstr>'Item Codes'!ClassCodesRange</vt:lpstr>
      <vt:lpstr>'Alarms '!EquipmentList</vt:lpstr>
      <vt:lpstr>EventLog!EquipmentList</vt:lpstr>
      <vt:lpstr>EquipmentList</vt:lpstr>
      <vt:lpstr>'Item Codes'!OMAC_Alarms</vt:lpstr>
      <vt:lpstr>OMAC_ID_Column</vt:lpstr>
      <vt:lpstr>OMAC_ID_PLCTag</vt:lpstr>
      <vt:lpstr>'Item Codes'!OMAC_Reason</vt:lpstr>
      <vt:lpstr>OMAC_Value_Column</vt:lpstr>
      <vt:lpstr>OMAC_Value_PLCTag</vt:lpstr>
      <vt:lpstr>SetupSheet!PLC_IPaddress</vt:lpstr>
      <vt:lpstr>SetupSheet!PLC_IPpath</vt:lpstr>
      <vt:lpstr>'Item Codes'!PLC_Styles</vt:lpstr>
      <vt:lpstr>SetupSheet!PLCStyle_Column</vt:lpstr>
      <vt:lpstr>SetupSheet!TagDesc_Range1</vt:lpstr>
      <vt:lpstr>SetupSheet!TagName_Range1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16680</cp:lastModifiedBy>
  <cp:lastPrinted>2025-09-27T12:27:43Z</cp:lastPrinted>
  <dcterms:created xsi:type="dcterms:W3CDTF">2024-11-28T08:44:06Z</dcterms:created>
  <dcterms:modified xsi:type="dcterms:W3CDTF">2025-12-06T11:36:30Z</dcterms:modified>
</cp:coreProperties>
</file>